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e\Desktop\"/>
    </mc:Choice>
  </mc:AlternateContent>
  <xr:revisionPtr revIDLastSave="0" documentId="13_ncr:1_{F8B7AE24-F265-4144-98D2-846CA5BFCF34}" xr6:coauthVersionLast="47" xr6:coauthVersionMax="47" xr10:uidLastSave="{00000000-0000-0000-0000-000000000000}"/>
  <bookViews>
    <workbookView xWindow="-120" yWindow="-120" windowWidth="29040" windowHeight="15720" activeTab="1" xr2:uid="{78F6C6CF-C9FD-4C30-A6D3-8F4A203AF3AD}"/>
  </bookViews>
  <sheets>
    <sheet name="Duże autobusy" sheetId="1" r:id="rId1"/>
    <sheet name="Średnie autobus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6" i="2" l="1"/>
  <c r="F15" i="2"/>
  <c r="F13" i="2"/>
  <c r="F11" i="2"/>
  <c r="F10" i="2"/>
  <c r="F9" i="2"/>
  <c r="F7" i="2"/>
  <c r="F5" i="2"/>
  <c r="F4" i="2"/>
  <c r="F3" i="2"/>
  <c r="F18" i="1"/>
  <c r="F16" i="1"/>
  <c r="F14" i="1"/>
  <c r="F13" i="1"/>
  <c r="F11" i="1"/>
  <c r="F10" i="1"/>
  <c r="F9" i="1"/>
  <c r="F7" i="1"/>
  <c r="F6" i="1"/>
  <c r="F5" i="1"/>
  <c r="F3" i="1"/>
</calcChain>
</file>

<file path=xl/sharedStrings.xml><?xml version="1.0" encoding="utf-8"?>
<sst xmlns="http://schemas.openxmlformats.org/spreadsheetml/2006/main" count="66" uniqueCount="41">
  <si>
    <t>Model</t>
  </si>
  <si>
    <t>miejsca dla pasażerów</t>
  </si>
  <si>
    <t>udogodnienia dla niepełnosprawnych</t>
  </si>
  <si>
    <t>Solaris</t>
  </si>
  <si>
    <t>Urbino 15 LE electric</t>
  </si>
  <si>
    <t>Urbino 18 CNG</t>
  </si>
  <si>
    <t>Urbino 18</t>
  </si>
  <si>
    <t>Urbino 12</t>
  </si>
  <si>
    <t>Urbino 12 CNG</t>
  </si>
  <si>
    <t>MAN bus</t>
  </si>
  <si>
    <t>Autosan</t>
  </si>
  <si>
    <t>SANCITY 12LFH</t>
  </si>
  <si>
    <t>SANCITY 12LF</t>
  </si>
  <si>
    <t>Mercedes</t>
  </si>
  <si>
    <t>CapaCity L</t>
  </si>
  <si>
    <t>Urbino 10,5 electric</t>
  </si>
  <si>
    <t>Urbino 8,9 LE electric</t>
  </si>
  <si>
    <t>Urbino 8,9 LE</t>
  </si>
  <si>
    <t>MAN Lion's City 10 E</t>
  </si>
  <si>
    <t>SANCITY 9LE</t>
  </si>
  <si>
    <t>SANCITY 10LFE</t>
  </si>
  <si>
    <t>SANCITY 10LF</t>
  </si>
  <si>
    <t>Citaro K</t>
  </si>
  <si>
    <t>Iveco Bus</t>
  </si>
  <si>
    <t>Crossway Pro 10,8</t>
  </si>
  <si>
    <t>moc silnika [KM]</t>
  </si>
  <si>
    <t>MAN Lion's City 12 E</t>
  </si>
  <si>
    <t>MAN Lion's Intercity LE 14</t>
  </si>
  <si>
    <t>MAN Lion's City 12 G</t>
  </si>
  <si>
    <t>Nesobus</t>
  </si>
  <si>
    <t>Nesobus 12</t>
  </si>
  <si>
    <t>prestiż</t>
  </si>
  <si>
    <t>koszt zakupu [mln zł]</t>
  </si>
  <si>
    <t>Crossway 10.8LE</t>
  </si>
  <si>
    <t>niska podłoga, przyklęk</t>
  </si>
  <si>
    <t>niska podłoga, miejsce na wózek, przyklęk</t>
  </si>
  <si>
    <t>niska podłoga, rampa, miejsce na wózek, przyklęk</t>
  </si>
  <si>
    <t>niska podłoga, rampa, miejsce na wózek</t>
  </si>
  <si>
    <t>niska podłoga, rampa, miejsce na wózek, braille/piktogramy</t>
  </si>
  <si>
    <t>niska podłoga, rampa, miejsce na wózek, przyklęk, braille/piktogramy</t>
  </si>
  <si>
    <t>rampa, miejsce na wózek, przyklęk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</si>
</sst>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zł&quot;;[Red]\-#,##0.00\ &quot;zł&quot;"/>
  </numFmts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8" fontId="0" fillId="0" borderId="0" xfId="0" applyNumberFormat="1"/>
    <xf numFmtId="14" fontId="0" fillId="0" borderId="0" xfId="0" applyNumberFormat="1"/>
    <xf numFmtId="0" fontId="0" fillId="0" borderId="0" xfId="0" applyNumberForma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0" borderId="0" xfId="0" applyFill="1"/>
    <xf numFmtId="1" fontId="0" fillId="0" borderId="0" xfId="0" applyNumberFormat="1"/>
    <xf numFmtId="1" fontId="0" fillId="2" borderId="0" xfId="0" applyNumberFormat="1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F22A7-6802-42EA-9523-249B4C0BB3CA}">
  <dimension ref="A1:I18"/>
  <sheetViews>
    <sheetView workbookViewId="0">
      <selection activeCell="G4" sqref="G4"/>
    </sheetView>
  </sheetViews>
  <sheetFormatPr defaultRowHeight="15" x14ac:dyDescent="0.25"/>
  <cols>
    <col min="1" max="1" width="23.28515625" bestFit="1" customWidth="1"/>
    <col min="2" max="2" width="22.85546875" bestFit="1" customWidth="1"/>
    <col min="3" max="3" width="21.42578125" bestFit="1" customWidth="1"/>
    <col min="4" max="4" width="35.28515625" bestFit="1" customWidth="1"/>
    <col min="5" max="5" width="21.28515625" customWidth="1"/>
    <col min="6" max="6" width="13.7109375" bestFit="1" customWidth="1"/>
    <col min="7" max="7" width="13.28515625" customWidth="1"/>
    <col min="9" max="9" width="10.85546875" customWidth="1"/>
  </cols>
  <sheetData>
    <row r="1" spans="1:9" x14ac:dyDescent="0.25">
      <c r="A1" s="7" t="s">
        <v>0</v>
      </c>
      <c r="B1" s="7" t="s">
        <v>25</v>
      </c>
      <c r="C1" s="7" t="s">
        <v>1</v>
      </c>
      <c r="D1" s="7" t="s">
        <v>2</v>
      </c>
      <c r="E1" s="7" t="s">
        <v>32</v>
      </c>
      <c r="F1" s="7" t="s">
        <v>31</v>
      </c>
      <c r="G1" s="1"/>
    </row>
    <row r="2" spans="1:9" x14ac:dyDescent="0.25">
      <c r="A2" s="5" t="s">
        <v>3</v>
      </c>
      <c r="B2" s="6"/>
      <c r="C2" s="6"/>
      <c r="D2" s="6"/>
      <c r="E2" s="6"/>
      <c r="F2" s="6"/>
    </row>
    <row r="3" spans="1:9" x14ac:dyDescent="0.25">
      <c r="A3" t="s">
        <v>4</v>
      </c>
      <c r="B3">
        <v>408</v>
      </c>
      <c r="C3">
        <v>65</v>
      </c>
      <c r="D3" t="s">
        <v>34</v>
      </c>
      <c r="E3" s="4">
        <v>2.2000000000000002</v>
      </c>
      <c r="F3" s="9">
        <f>AVERAGE(10,6,5)</f>
        <v>7</v>
      </c>
      <c r="I3" s="2"/>
    </row>
    <row r="4" spans="1:9" x14ac:dyDescent="0.25">
      <c r="A4" t="s">
        <v>5</v>
      </c>
      <c r="B4">
        <v>320</v>
      </c>
      <c r="C4">
        <v>55</v>
      </c>
      <c r="D4" t="s">
        <v>35</v>
      </c>
      <c r="E4">
        <v>2.4</v>
      </c>
      <c r="F4" s="9">
        <v>10</v>
      </c>
    </row>
    <row r="5" spans="1:9" x14ac:dyDescent="0.25">
      <c r="A5" t="s">
        <v>6</v>
      </c>
      <c r="B5">
        <v>310</v>
      </c>
      <c r="C5">
        <v>54</v>
      </c>
      <c r="D5" t="s">
        <v>35</v>
      </c>
      <c r="E5">
        <v>1.8</v>
      </c>
      <c r="F5" s="9">
        <f>AVERAGE(5,4,10)</f>
        <v>6.333333333333333</v>
      </c>
    </row>
    <row r="6" spans="1:9" x14ac:dyDescent="0.25">
      <c r="A6" t="s">
        <v>7</v>
      </c>
      <c r="B6">
        <v>256</v>
      </c>
      <c r="C6">
        <v>16</v>
      </c>
      <c r="D6" t="s">
        <v>35</v>
      </c>
      <c r="E6">
        <v>1</v>
      </c>
      <c r="F6" s="9">
        <f>AVERAGE(8,8,10)</f>
        <v>8.6666666666666661</v>
      </c>
      <c r="I6" s="2"/>
    </row>
    <row r="7" spans="1:9" x14ac:dyDescent="0.25">
      <c r="A7" t="s">
        <v>8</v>
      </c>
      <c r="B7">
        <v>320</v>
      </c>
      <c r="C7">
        <v>40</v>
      </c>
      <c r="D7" t="s">
        <v>35</v>
      </c>
      <c r="E7">
        <v>1.1000000000000001</v>
      </c>
      <c r="F7" s="9">
        <f>AVERAGE(3,1,10)</f>
        <v>4.666666666666667</v>
      </c>
    </row>
    <row r="8" spans="1:9" x14ac:dyDescent="0.25">
      <c r="A8" s="5" t="s">
        <v>9</v>
      </c>
      <c r="B8" s="6"/>
      <c r="C8" s="6"/>
      <c r="D8" s="6"/>
      <c r="E8" s="6"/>
      <c r="F8" s="10"/>
    </row>
    <row r="9" spans="1:9" x14ac:dyDescent="0.25">
      <c r="A9" t="s">
        <v>26</v>
      </c>
      <c r="B9">
        <v>326</v>
      </c>
      <c r="C9">
        <v>44</v>
      </c>
      <c r="D9" t="s">
        <v>36</v>
      </c>
      <c r="E9">
        <v>2.6</v>
      </c>
      <c r="F9" s="9">
        <f>AVERAGE(7,4,8)</f>
        <v>6.333333333333333</v>
      </c>
    </row>
    <row r="10" spans="1:9" x14ac:dyDescent="0.25">
      <c r="A10" t="s">
        <v>27</v>
      </c>
      <c r="B10">
        <v>265</v>
      </c>
      <c r="C10">
        <v>63</v>
      </c>
      <c r="D10" t="s">
        <v>35</v>
      </c>
      <c r="E10">
        <v>1.8</v>
      </c>
      <c r="F10" s="9">
        <f>AVERAGE(9,4,6)</f>
        <v>6.333333333333333</v>
      </c>
    </row>
    <row r="11" spans="1:9" x14ac:dyDescent="0.25">
      <c r="A11" t="s">
        <v>28</v>
      </c>
      <c r="B11">
        <v>280</v>
      </c>
      <c r="C11">
        <v>37</v>
      </c>
      <c r="D11" t="s">
        <v>36</v>
      </c>
      <c r="E11">
        <v>2</v>
      </c>
      <c r="F11" s="9">
        <f>AVERAGE(4,4,1)</f>
        <v>3</v>
      </c>
    </row>
    <row r="12" spans="1:9" x14ac:dyDescent="0.25">
      <c r="A12" s="5" t="s">
        <v>10</v>
      </c>
      <c r="B12" s="6"/>
      <c r="C12" s="6"/>
      <c r="D12" s="6"/>
      <c r="E12" s="6"/>
      <c r="F12" s="10"/>
      <c r="I12" s="3"/>
    </row>
    <row r="13" spans="1:9" x14ac:dyDescent="0.25">
      <c r="A13" t="s">
        <v>11</v>
      </c>
      <c r="B13">
        <v>344</v>
      </c>
      <c r="C13">
        <v>40</v>
      </c>
      <c r="D13" t="s">
        <v>37</v>
      </c>
      <c r="E13">
        <v>3.25</v>
      </c>
      <c r="F13" s="9">
        <f>AVERAGE(10,10,4)</f>
        <v>8</v>
      </c>
    </row>
    <row r="14" spans="1:9" x14ac:dyDescent="0.25">
      <c r="A14" t="s">
        <v>12</v>
      </c>
      <c r="B14">
        <v>277</v>
      </c>
      <c r="C14">
        <v>40</v>
      </c>
      <c r="D14" t="s">
        <v>37</v>
      </c>
      <c r="E14">
        <v>1</v>
      </c>
      <c r="F14" s="9">
        <f>AVERAGE(5,4,3)</f>
        <v>4</v>
      </c>
    </row>
    <row r="15" spans="1:9" x14ac:dyDescent="0.25">
      <c r="A15" s="5" t="s">
        <v>13</v>
      </c>
      <c r="B15" s="6"/>
      <c r="C15" s="6"/>
      <c r="D15" s="6"/>
      <c r="E15" s="6"/>
      <c r="F15" s="10"/>
    </row>
    <row r="16" spans="1:9" x14ac:dyDescent="0.25">
      <c r="A16" t="s">
        <v>14</v>
      </c>
      <c r="B16">
        <v>360</v>
      </c>
      <c r="C16">
        <v>44</v>
      </c>
      <c r="D16" t="s">
        <v>36</v>
      </c>
      <c r="E16">
        <v>2</v>
      </c>
      <c r="F16" s="9">
        <f>AVERAGE(8,9,9)</f>
        <v>8.6666666666666661</v>
      </c>
    </row>
    <row r="17" spans="1:6" x14ac:dyDescent="0.25">
      <c r="A17" s="5" t="s">
        <v>29</v>
      </c>
      <c r="B17" s="6"/>
      <c r="C17" s="6"/>
      <c r="D17" s="6"/>
      <c r="E17" s="6"/>
      <c r="F17" s="10"/>
    </row>
    <row r="18" spans="1:6" x14ac:dyDescent="0.25">
      <c r="A18" t="s">
        <v>30</v>
      </c>
      <c r="B18">
        <v>340</v>
      </c>
      <c r="C18">
        <v>37</v>
      </c>
      <c r="D18" t="s">
        <v>37</v>
      </c>
      <c r="E18">
        <v>2.9</v>
      </c>
      <c r="F18" s="9">
        <f>AVERAGE(10,9,10)</f>
        <v>9.6666666666666661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985E-3EE3-41A7-B4A2-294A43F0CA3B}">
  <dimension ref="A1:F16"/>
  <sheetViews>
    <sheetView tabSelected="1" workbookViewId="0">
      <selection activeCell="H7" sqref="H7"/>
    </sheetView>
  </sheetViews>
  <sheetFormatPr defaultRowHeight="15" x14ac:dyDescent="0.25"/>
  <cols>
    <col min="1" max="1" width="21" customWidth="1"/>
    <col min="2" max="2" width="16" bestFit="1" customWidth="1"/>
    <col min="3" max="3" width="21.7109375" bestFit="1" customWidth="1"/>
    <col min="4" max="4" width="35.140625" bestFit="1" customWidth="1"/>
    <col min="5" max="5" width="19.85546875" bestFit="1" customWidth="1"/>
    <col min="6" max="6" width="9.42578125" bestFit="1" customWidth="1"/>
  </cols>
  <sheetData>
    <row r="1" spans="1:6" x14ac:dyDescent="0.25">
      <c r="A1" s="7" t="s">
        <v>0</v>
      </c>
      <c r="B1" s="7" t="s">
        <v>25</v>
      </c>
      <c r="C1" s="7" t="s">
        <v>1</v>
      </c>
      <c r="D1" s="7" t="s">
        <v>2</v>
      </c>
      <c r="E1" s="7" t="s">
        <v>32</v>
      </c>
      <c r="F1" s="7" t="s">
        <v>31</v>
      </c>
    </row>
    <row r="2" spans="1:6" x14ac:dyDescent="0.25">
      <c r="A2" s="5" t="s">
        <v>3</v>
      </c>
      <c r="B2" s="6"/>
      <c r="C2" s="6"/>
      <c r="D2" s="6"/>
      <c r="E2" s="6"/>
      <c r="F2" s="6"/>
    </row>
    <row r="3" spans="1:6" x14ac:dyDescent="0.25">
      <c r="A3" t="s">
        <v>15</v>
      </c>
      <c r="B3">
        <v>340</v>
      </c>
      <c r="C3">
        <v>33</v>
      </c>
      <c r="D3" t="s">
        <v>35</v>
      </c>
      <c r="E3">
        <v>2.6</v>
      </c>
      <c r="F3" s="9">
        <f>AVERAGE(6,4,2)</f>
        <v>4</v>
      </c>
    </row>
    <row r="4" spans="1:6" x14ac:dyDescent="0.25">
      <c r="A4" t="s">
        <v>16</v>
      </c>
      <c r="B4">
        <v>218</v>
      </c>
      <c r="C4">
        <v>27</v>
      </c>
      <c r="D4" t="s">
        <v>36</v>
      </c>
      <c r="E4">
        <v>2.4</v>
      </c>
      <c r="F4" s="9">
        <f>AVERAGE(6,8,10)</f>
        <v>8</v>
      </c>
    </row>
    <row r="5" spans="1:6" x14ac:dyDescent="0.25">
      <c r="A5" t="s">
        <v>17</v>
      </c>
      <c r="B5">
        <v>250</v>
      </c>
      <c r="C5">
        <v>33</v>
      </c>
      <c r="D5" t="s">
        <v>36</v>
      </c>
      <c r="E5">
        <v>1.1000000000000001</v>
      </c>
      <c r="F5" s="9">
        <f>AVERAGE(10,5,5)</f>
        <v>6.666666666666667</v>
      </c>
    </row>
    <row r="6" spans="1:6" x14ac:dyDescent="0.25">
      <c r="A6" s="5" t="s">
        <v>9</v>
      </c>
      <c r="B6" s="6"/>
      <c r="C6" s="6"/>
      <c r="D6" s="6"/>
      <c r="E6" s="6"/>
      <c r="F6" s="10"/>
    </row>
    <row r="7" spans="1:6" x14ac:dyDescent="0.25">
      <c r="A7" t="s">
        <v>18</v>
      </c>
      <c r="B7">
        <v>326</v>
      </c>
      <c r="C7">
        <v>36</v>
      </c>
      <c r="D7" t="s">
        <v>36</v>
      </c>
      <c r="E7">
        <v>2.6</v>
      </c>
      <c r="F7" s="9">
        <f>AVERAGE(5,5,5)</f>
        <v>5</v>
      </c>
    </row>
    <row r="8" spans="1:6" x14ac:dyDescent="0.25">
      <c r="A8" s="5" t="s">
        <v>10</v>
      </c>
      <c r="B8" s="6"/>
      <c r="C8" s="6"/>
      <c r="D8" s="6"/>
      <c r="E8" s="6"/>
      <c r="F8" s="10"/>
    </row>
    <row r="9" spans="1:6" x14ac:dyDescent="0.25">
      <c r="A9" t="s">
        <v>19</v>
      </c>
      <c r="B9">
        <v>210</v>
      </c>
      <c r="C9">
        <v>16</v>
      </c>
      <c r="D9" t="s">
        <v>38</v>
      </c>
      <c r="E9">
        <v>0.6</v>
      </c>
      <c r="F9" s="9">
        <f>AVERAGE(3,6,4)</f>
        <v>4.333333333333333</v>
      </c>
    </row>
    <row r="10" spans="1:6" x14ac:dyDescent="0.25">
      <c r="A10" t="s">
        <v>20</v>
      </c>
      <c r="B10">
        <v>340</v>
      </c>
      <c r="C10">
        <v>24</v>
      </c>
      <c r="D10" s="6" t="s">
        <v>36</v>
      </c>
      <c r="E10">
        <v>2.2000000000000002</v>
      </c>
      <c r="F10" s="9">
        <f>AVERAGE(5,6,4)</f>
        <v>5</v>
      </c>
    </row>
    <row r="11" spans="1:6" x14ac:dyDescent="0.25">
      <c r="A11" t="s">
        <v>21</v>
      </c>
      <c r="B11">
        <v>247</v>
      </c>
      <c r="C11">
        <v>26</v>
      </c>
      <c r="D11" t="s">
        <v>37</v>
      </c>
      <c r="E11">
        <v>0.9</v>
      </c>
      <c r="F11" s="9">
        <f>AVERAGE(5,7,5)</f>
        <v>5.666666666666667</v>
      </c>
    </row>
    <row r="12" spans="1:6" x14ac:dyDescent="0.25">
      <c r="A12" s="5" t="s">
        <v>13</v>
      </c>
      <c r="B12" s="6"/>
      <c r="C12" s="6"/>
      <c r="D12" s="6"/>
      <c r="E12" s="6"/>
      <c r="F12" s="10"/>
    </row>
    <row r="13" spans="1:6" x14ac:dyDescent="0.25">
      <c r="A13" t="s">
        <v>22</v>
      </c>
      <c r="B13">
        <v>299</v>
      </c>
      <c r="C13">
        <v>32</v>
      </c>
      <c r="D13" t="s">
        <v>39</v>
      </c>
      <c r="E13">
        <v>1.3</v>
      </c>
      <c r="F13" s="9">
        <f>AVERAGE(9,9,7)</f>
        <v>8.3333333333333339</v>
      </c>
    </row>
    <row r="14" spans="1:6" x14ac:dyDescent="0.25">
      <c r="A14" s="5" t="s">
        <v>23</v>
      </c>
      <c r="B14" s="6"/>
      <c r="C14" s="6"/>
      <c r="D14" s="6"/>
      <c r="E14" s="6"/>
      <c r="F14" s="10"/>
    </row>
    <row r="15" spans="1:6" x14ac:dyDescent="0.25">
      <c r="A15" t="s">
        <v>33</v>
      </c>
      <c r="B15">
        <v>330</v>
      </c>
      <c r="C15">
        <v>29</v>
      </c>
      <c r="D15" t="s">
        <v>36</v>
      </c>
      <c r="E15">
        <v>1.1000000000000001</v>
      </c>
      <c r="F15" s="9">
        <f>AVERAGE(9,7,10)</f>
        <v>8.6666666666666661</v>
      </c>
    </row>
    <row r="16" spans="1:6" x14ac:dyDescent="0.25">
      <c r="A16" t="s">
        <v>24</v>
      </c>
      <c r="B16">
        <v>360</v>
      </c>
      <c r="C16">
        <v>47</v>
      </c>
      <c r="D16" s="6" t="s">
        <v>40</v>
      </c>
      <c r="E16" s="8">
        <v>0.9</v>
      </c>
      <c r="F16" s="9">
        <f>AVERAGE(8,3,8)</f>
        <v>6.333333333333333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Duże autobusy</vt:lpstr>
      <vt:lpstr>Średnie autobusy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Patryk Klimek</dc:creator>
  <cp:lastModifiedBy>Patryk Klimek</cp:lastModifiedBy>
  <dcterms:created xsi:type="dcterms:W3CDTF">2026-06-04T19:12:40Z</dcterms:created>
  <dcterms:modified xsi:type="dcterms:W3CDTF">2026-06-05T12:49:23Z</dcterms:modified>
</cp:coreProperties>
</file>