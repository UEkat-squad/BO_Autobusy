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este\Downloads\"/>
    </mc:Choice>
  </mc:AlternateContent>
  <xr:revisionPtr revIDLastSave="0" documentId="13_ncr:1_{80CACD36-7AD6-46DC-AA4F-1744BB700EC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Duże autobusy" sheetId="1" r:id="rId1"/>
    <sheet name="Średnie autobusy" sheetId="2" r:id="rId2"/>
    <sheet name="Duże autobusy SAW" sheetId="3" r:id="rId3"/>
    <sheet name="Średnie autobusy SAW" sheetId="5" r:id="rId4"/>
    <sheet name="Duże autobusy analiza wrażliwoś" sheetId="4" r:id="rId5"/>
    <sheet name="Średnie autobusy analiza wrazli" sheetId="6" r:id="rId6"/>
  </sheets>
  <calcPr calcId="191029" iterateDelta="1E-4"/>
  <pivotCaches>
    <pivotCache cacheId="5" r:id="rId7"/>
    <pivotCache cacheId="9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" i="5" l="1"/>
  <c r="E13" i="5"/>
  <c r="E21" i="5" s="1"/>
  <c r="C13" i="5"/>
  <c r="C24" i="5" s="1"/>
  <c r="B13" i="5"/>
  <c r="B24" i="5" s="1"/>
  <c r="F11" i="5"/>
  <c r="D11" i="5"/>
  <c r="F10" i="5"/>
  <c r="D10" i="5"/>
  <c r="F9" i="5"/>
  <c r="D9" i="5"/>
  <c r="F8" i="5"/>
  <c r="D8" i="5"/>
  <c r="F7" i="5"/>
  <c r="D7" i="5"/>
  <c r="F6" i="5"/>
  <c r="D6" i="5"/>
  <c r="F5" i="5"/>
  <c r="D5" i="5"/>
  <c r="F4" i="5"/>
  <c r="D4" i="5"/>
  <c r="F3" i="5"/>
  <c r="D3" i="5"/>
  <c r="F2" i="5"/>
  <c r="D2" i="5"/>
  <c r="C97" i="4"/>
  <c r="E94" i="4"/>
  <c r="C94" i="4"/>
  <c r="B94" i="4"/>
  <c r="C93" i="4"/>
  <c r="B93" i="4"/>
  <c r="C89" i="4"/>
  <c r="G85" i="4"/>
  <c r="E84" i="4"/>
  <c r="E95" i="4" s="1"/>
  <c r="C84" i="4"/>
  <c r="C98" i="4" s="1"/>
  <c r="B84" i="4"/>
  <c r="B98" i="4" s="1"/>
  <c r="F82" i="4"/>
  <c r="D82" i="4"/>
  <c r="F81" i="4"/>
  <c r="D81" i="4"/>
  <c r="F80" i="4"/>
  <c r="D80" i="4"/>
  <c r="F79" i="4"/>
  <c r="D79" i="4"/>
  <c r="F78" i="4"/>
  <c r="D78" i="4"/>
  <c r="F77" i="4"/>
  <c r="D77" i="4"/>
  <c r="F76" i="4"/>
  <c r="D76" i="4"/>
  <c r="F75" i="4"/>
  <c r="D75" i="4"/>
  <c r="F74" i="4"/>
  <c r="D74" i="4"/>
  <c r="F73" i="4"/>
  <c r="D73" i="4"/>
  <c r="D72" i="4"/>
  <c r="F71" i="4"/>
  <c r="F84" i="4" s="1"/>
  <c r="D71" i="4"/>
  <c r="D84" i="4" s="1"/>
  <c r="C66" i="4"/>
  <c r="B66" i="4"/>
  <c r="E65" i="4"/>
  <c r="C65" i="4"/>
  <c r="B65" i="4"/>
  <c r="E64" i="4"/>
  <c r="C64" i="4"/>
  <c r="E63" i="4"/>
  <c r="C60" i="4"/>
  <c r="C59" i="4"/>
  <c r="C58" i="4"/>
  <c r="B58" i="4"/>
  <c r="E57" i="4"/>
  <c r="C57" i="4"/>
  <c r="B57" i="4"/>
  <c r="E56" i="4"/>
  <c r="C56" i="4"/>
  <c r="E55" i="4"/>
  <c r="G52" i="4"/>
  <c r="E51" i="4"/>
  <c r="E60" i="4" s="1"/>
  <c r="C51" i="4"/>
  <c r="C63" i="4" s="1"/>
  <c r="B51" i="4"/>
  <c r="B63" i="4" s="1"/>
  <c r="F49" i="4"/>
  <c r="D49" i="4"/>
  <c r="F48" i="4"/>
  <c r="D48" i="4"/>
  <c r="F47" i="4"/>
  <c r="D47" i="4"/>
  <c r="F46" i="4"/>
  <c r="D46" i="4"/>
  <c r="F45" i="4"/>
  <c r="D45" i="4"/>
  <c r="F44" i="4"/>
  <c r="D44" i="4"/>
  <c r="F43" i="4"/>
  <c r="D43" i="4"/>
  <c r="F42" i="4"/>
  <c r="D42" i="4"/>
  <c r="F41" i="4"/>
  <c r="D41" i="4"/>
  <c r="F40" i="4"/>
  <c r="D40" i="4"/>
  <c r="D39" i="4"/>
  <c r="F38" i="4"/>
  <c r="D38" i="4"/>
  <c r="E33" i="4"/>
  <c r="C33" i="4"/>
  <c r="B33" i="4"/>
  <c r="E32" i="4"/>
  <c r="C32" i="4"/>
  <c r="B32" i="4"/>
  <c r="E31" i="4"/>
  <c r="C31" i="4"/>
  <c r="E30" i="4"/>
  <c r="C30" i="4"/>
  <c r="B30" i="4"/>
  <c r="E28" i="4"/>
  <c r="C28" i="4"/>
  <c r="B28" i="4"/>
  <c r="E27" i="4"/>
  <c r="C27" i="4"/>
  <c r="B27" i="4"/>
  <c r="C26" i="4"/>
  <c r="B26" i="4"/>
  <c r="E25" i="4"/>
  <c r="C25" i="4"/>
  <c r="B25" i="4"/>
  <c r="E24" i="4"/>
  <c r="C24" i="4"/>
  <c r="B24" i="4"/>
  <c r="E23" i="4"/>
  <c r="C23" i="4"/>
  <c r="E22" i="4"/>
  <c r="C22" i="4"/>
  <c r="B22" i="4"/>
  <c r="G19" i="4"/>
  <c r="E18" i="4"/>
  <c r="E29" i="4" s="1"/>
  <c r="C18" i="4"/>
  <c r="C29" i="4" s="1"/>
  <c r="B18" i="4"/>
  <c r="B31" i="4" s="1"/>
  <c r="F16" i="4"/>
  <c r="D16" i="4"/>
  <c r="F15" i="4"/>
  <c r="D15" i="4"/>
  <c r="F14" i="4"/>
  <c r="D14" i="4"/>
  <c r="F13" i="4"/>
  <c r="F30" i="4" s="1"/>
  <c r="D13" i="4"/>
  <c r="F12" i="4"/>
  <c r="D12" i="4"/>
  <c r="F11" i="4"/>
  <c r="D11" i="4"/>
  <c r="F10" i="4"/>
  <c r="D10" i="4"/>
  <c r="F9" i="4"/>
  <c r="D9" i="4"/>
  <c r="F8" i="4"/>
  <c r="D8" i="4"/>
  <c r="F7" i="4"/>
  <c r="D7" i="4"/>
  <c r="D6" i="4"/>
  <c r="F5" i="4"/>
  <c r="F18" i="4" s="1"/>
  <c r="D5" i="4"/>
  <c r="C30" i="3"/>
  <c r="C29" i="3"/>
  <c r="B29" i="3"/>
  <c r="C28" i="3"/>
  <c r="B28" i="3"/>
  <c r="C27" i="3"/>
  <c r="C25" i="3"/>
  <c r="B25" i="3"/>
  <c r="C24" i="3"/>
  <c r="B24" i="3"/>
  <c r="C23" i="3"/>
  <c r="B23" i="3"/>
  <c r="C22" i="3"/>
  <c r="C21" i="3"/>
  <c r="B21" i="3"/>
  <c r="C20" i="3"/>
  <c r="B20" i="3"/>
  <c r="C19" i="3"/>
  <c r="G16" i="3"/>
  <c r="E15" i="3"/>
  <c r="E26" i="3" s="1"/>
  <c r="C15" i="3"/>
  <c r="C26" i="3" s="1"/>
  <c r="B15" i="3"/>
  <c r="B26" i="3" s="1"/>
  <c r="F13" i="3"/>
  <c r="D13" i="3"/>
  <c r="F12" i="3"/>
  <c r="D12" i="3"/>
  <c r="F11" i="3"/>
  <c r="D11" i="3"/>
  <c r="F10" i="3"/>
  <c r="D10" i="3"/>
  <c r="F9" i="3"/>
  <c r="D9" i="3"/>
  <c r="F8" i="3"/>
  <c r="D8" i="3"/>
  <c r="F7" i="3"/>
  <c r="D7" i="3"/>
  <c r="F6" i="3"/>
  <c r="D6" i="3"/>
  <c r="F5" i="3"/>
  <c r="D5" i="3"/>
  <c r="F4" i="3"/>
  <c r="D4" i="3"/>
  <c r="D3" i="3"/>
  <c r="F2" i="3"/>
  <c r="D2" i="3"/>
  <c r="F16" i="2"/>
  <c r="F15" i="2"/>
  <c r="F13" i="2"/>
  <c r="F11" i="2"/>
  <c r="F10" i="2"/>
  <c r="F9" i="2"/>
  <c r="F7" i="2"/>
  <c r="F5" i="2"/>
  <c r="F4" i="2"/>
  <c r="F3" i="2"/>
  <c r="D20" i="1"/>
  <c r="F18" i="1"/>
  <c r="F16" i="1"/>
  <c r="F14" i="1"/>
  <c r="F13" i="1"/>
  <c r="F11" i="1"/>
  <c r="F10" i="1"/>
  <c r="F9" i="1"/>
  <c r="F7" i="1"/>
  <c r="F6" i="1"/>
  <c r="F5" i="1"/>
  <c r="F3" i="1"/>
  <c r="B96" i="6"/>
  <c r="E95" i="6"/>
  <c r="B95" i="6"/>
  <c r="C94" i="6"/>
  <c r="E93" i="6"/>
  <c r="C93" i="6"/>
  <c r="B93" i="6"/>
  <c r="B92" i="6"/>
  <c r="E91" i="6"/>
  <c r="B91" i="6"/>
  <c r="E90" i="6"/>
  <c r="B90" i="6"/>
  <c r="B89" i="6"/>
  <c r="C88" i="6"/>
  <c r="B88" i="6"/>
  <c r="E87" i="6"/>
  <c r="B87" i="6"/>
  <c r="G81" i="6"/>
  <c r="E80" i="6"/>
  <c r="E96" i="6" s="1"/>
  <c r="C80" i="6"/>
  <c r="B80" i="6"/>
  <c r="B94" i="6" s="1"/>
  <c r="F78" i="6"/>
  <c r="D78" i="6"/>
  <c r="F77" i="6"/>
  <c r="D77" i="6"/>
  <c r="F76" i="6"/>
  <c r="D76" i="6"/>
  <c r="F75" i="6"/>
  <c r="D75" i="6"/>
  <c r="F74" i="6"/>
  <c r="D74" i="6"/>
  <c r="F73" i="6"/>
  <c r="D73" i="6"/>
  <c r="F72" i="6"/>
  <c r="D72" i="6"/>
  <c r="F71" i="6"/>
  <c r="D71" i="6"/>
  <c r="F70" i="6"/>
  <c r="D70" i="6"/>
  <c r="D80" i="6" s="1"/>
  <c r="F69" i="6"/>
  <c r="D69" i="6"/>
  <c r="B64" i="6"/>
  <c r="C63" i="6"/>
  <c r="E62" i="6"/>
  <c r="C62" i="6"/>
  <c r="B62" i="6"/>
  <c r="B60" i="6"/>
  <c r="E59" i="6"/>
  <c r="B59" i="6"/>
  <c r="B58" i="6"/>
  <c r="C57" i="6"/>
  <c r="B57" i="6"/>
  <c r="B56" i="6"/>
  <c r="C55" i="6"/>
  <c r="G49" i="6"/>
  <c r="E48" i="6"/>
  <c r="C48" i="6"/>
  <c r="B48" i="6"/>
  <c r="F46" i="6"/>
  <c r="D46" i="6"/>
  <c r="F45" i="6"/>
  <c r="D45" i="6"/>
  <c r="F44" i="6"/>
  <c r="D44" i="6"/>
  <c r="F43" i="6"/>
  <c r="D43" i="6"/>
  <c r="F42" i="6"/>
  <c r="F60" i="6" s="1"/>
  <c r="D42" i="6"/>
  <c r="F41" i="6"/>
  <c r="D41" i="6"/>
  <c r="F40" i="6"/>
  <c r="D40" i="6"/>
  <c r="F39" i="6"/>
  <c r="D39" i="6"/>
  <c r="F38" i="6"/>
  <c r="D38" i="6"/>
  <c r="F37" i="6"/>
  <c r="D37" i="6"/>
  <c r="E32" i="6"/>
  <c r="C32" i="6"/>
  <c r="E31" i="6"/>
  <c r="C31" i="6"/>
  <c r="B31" i="6"/>
  <c r="E29" i="6"/>
  <c r="C29" i="6"/>
  <c r="B29" i="6"/>
  <c r="E28" i="6"/>
  <c r="C28" i="6"/>
  <c r="B28" i="6"/>
  <c r="C27" i="6"/>
  <c r="B27" i="6"/>
  <c r="E26" i="6"/>
  <c r="C26" i="6"/>
  <c r="B26" i="6"/>
  <c r="E25" i="6"/>
  <c r="C25" i="6"/>
  <c r="B25" i="6"/>
  <c r="E24" i="6"/>
  <c r="C24" i="6"/>
  <c r="E23" i="6"/>
  <c r="C23" i="6"/>
  <c r="B23" i="6"/>
  <c r="G17" i="6"/>
  <c r="F16" i="6"/>
  <c r="F61" i="6" s="1"/>
  <c r="E16" i="6"/>
  <c r="E30" i="6" s="1"/>
  <c r="C16" i="6"/>
  <c r="C30" i="6" s="1"/>
  <c r="B16" i="6"/>
  <c r="B63" i="6" s="1"/>
  <c r="F14" i="6"/>
  <c r="D14" i="6"/>
  <c r="F13" i="6"/>
  <c r="D13" i="6"/>
  <c r="F12" i="6"/>
  <c r="D12" i="6"/>
  <c r="F11" i="6"/>
  <c r="F29" i="6" s="1"/>
  <c r="D11" i="6"/>
  <c r="F10" i="6"/>
  <c r="D10" i="6"/>
  <c r="F9" i="6"/>
  <c r="D9" i="6"/>
  <c r="F8" i="6"/>
  <c r="D8" i="6"/>
  <c r="F7" i="6"/>
  <c r="D7" i="6"/>
  <c r="F6" i="6"/>
  <c r="D6" i="6"/>
  <c r="F5" i="6"/>
  <c r="D5" i="6"/>
  <c r="F27" i="4" l="1"/>
  <c r="F26" i="4"/>
  <c r="F23" i="4"/>
  <c r="F28" i="4"/>
  <c r="F22" i="4"/>
  <c r="D89" i="6"/>
  <c r="D95" i="6"/>
  <c r="D94" i="6"/>
  <c r="D87" i="6"/>
  <c r="D96" i="6"/>
  <c r="F29" i="4"/>
  <c r="F97" i="4"/>
  <c r="F89" i="4"/>
  <c r="F99" i="4"/>
  <c r="F91" i="4"/>
  <c r="F95" i="4"/>
  <c r="D97" i="4"/>
  <c r="G94" i="4"/>
  <c r="F21" i="5"/>
  <c r="F27" i="6"/>
  <c r="F62" i="6"/>
  <c r="D92" i="6"/>
  <c r="D89" i="4"/>
  <c r="D22" i="5"/>
  <c r="D91" i="6"/>
  <c r="D28" i="6"/>
  <c r="G28" i="6" s="1"/>
  <c r="D22" i="4"/>
  <c r="G22" i="4" s="1"/>
  <c r="D18" i="4"/>
  <c r="F98" i="4"/>
  <c r="F96" i="4"/>
  <c r="D23" i="5"/>
  <c r="D88" i="4"/>
  <c r="D98" i="4"/>
  <c r="D93" i="4"/>
  <c r="D90" i="4"/>
  <c r="D93" i="6"/>
  <c r="D29" i="6"/>
  <c r="F23" i="6"/>
  <c r="D27" i="3"/>
  <c r="D31" i="4"/>
  <c r="D51" i="4"/>
  <c r="F27" i="3"/>
  <c r="F31" i="4"/>
  <c r="G31" i="4" s="1"/>
  <c r="D99" i="4"/>
  <c r="D30" i="6"/>
  <c r="D88" i="6"/>
  <c r="E20" i="3"/>
  <c r="D92" i="4"/>
  <c r="F90" i="4"/>
  <c r="D48" i="6"/>
  <c r="F56" i="6"/>
  <c r="F64" i="6"/>
  <c r="F24" i="4"/>
  <c r="F32" i="4"/>
  <c r="F92" i="4"/>
  <c r="D17" i="5"/>
  <c r="D25" i="5"/>
  <c r="F26" i="6"/>
  <c r="F31" i="6"/>
  <c r="F28" i="6"/>
  <c r="F80" i="6"/>
  <c r="F89" i="6" s="1"/>
  <c r="G89" i="6" s="1"/>
  <c r="D21" i="3"/>
  <c r="G21" i="3" s="1"/>
  <c r="G29" i="6"/>
  <c r="D29" i="3"/>
  <c r="G29" i="3" s="1"/>
  <c r="F57" i="6"/>
  <c r="C60" i="6"/>
  <c r="C59" i="6"/>
  <c r="C64" i="6"/>
  <c r="C56" i="6"/>
  <c r="C61" i="6"/>
  <c r="C58" i="6"/>
  <c r="F21" i="3"/>
  <c r="F29" i="3"/>
  <c r="F25" i="4"/>
  <c r="F33" i="4"/>
  <c r="F62" i="4"/>
  <c r="F93" i="4"/>
  <c r="D18" i="5"/>
  <c r="D26" i="5"/>
  <c r="E23" i="3"/>
  <c r="E25" i="3"/>
  <c r="E30" i="3"/>
  <c r="E22" i="3"/>
  <c r="E24" i="3"/>
  <c r="E29" i="3"/>
  <c r="E21" i="3"/>
  <c r="D27" i="6"/>
  <c r="G27" i="6" s="1"/>
  <c r="D30" i="4"/>
  <c r="D16" i="6"/>
  <c r="D94" i="4"/>
  <c r="F88" i="4"/>
  <c r="F18" i="5"/>
  <c r="F26" i="5"/>
  <c r="D21" i="5"/>
  <c r="E57" i="6"/>
  <c r="E64" i="6"/>
  <c r="E56" i="6"/>
  <c r="E61" i="6"/>
  <c r="E58" i="6"/>
  <c r="E63" i="6"/>
  <c r="E55" i="6"/>
  <c r="F96" i="6"/>
  <c r="D30" i="3"/>
  <c r="E27" i="3"/>
  <c r="D26" i="4"/>
  <c r="G26" i="4" s="1"/>
  <c r="F24" i="6"/>
  <c r="F32" i="6"/>
  <c r="F58" i="6"/>
  <c r="F48" i="6"/>
  <c r="E60" i="6"/>
  <c r="F63" i="4"/>
  <c r="F94" i="4"/>
  <c r="D19" i="5"/>
  <c r="E19" i="3"/>
  <c r="F30" i="6"/>
  <c r="C91" i="6"/>
  <c r="C90" i="6"/>
  <c r="C95" i="6"/>
  <c r="C87" i="6"/>
  <c r="C92" i="6"/>
  <c r="C89" i="6"/>
  <c r="C96" i="6"/>
  <c r="D23" i="3"/>
  <c r="D27" i="4"/>
  <c r="G27" i="4" s="1"/>
  <c r="G30" i="4"/>
  <c r="F51" i="4"/>
  <c r="D64" i="4"/>
  <c r="D95" i="4"/>
  <c r="D91" i="4"/>
  <c r="D90" i="6"/>
  <c r="D56" i="4"/>
  <c r="D20" i="5"/>
  <c r="F59" i="6"/>
  <c r="F25" i="6"/>
  <c r="F63" i="6"/>
  <c r="F55" i="6"/>
  <c r="D24" i="3"/>
  <c r="D15" i="3"/>
  <c r="D19" i="3" s="1"/>
  <c r="E28" i="3"/>
  <c r="D28" i="4"/>
  <c r="G28" i="4" s="1"/>
  <c r="D57" i="4"/>
  <c r="D65" i="4"/>
  <c r="D96" i="4"/>
  <c r="G93" i="4"/>
  <c r="D13" i="5"/>
  <c r="D24" i="5" s="1"/>
  <c r="B19" i="5"/>
  <c r="C19" i="5"/>
  <c r="E24" i="5"/>
  <c r="F13" i="5"/>
  <c r="F17" i="5" s="1"/>
  <c r="B22" i="5"/>
  <c r="E94" i="6"/>
  <c r="F15" i="3"/>
  <c r="F24" i="3" s="1"/>
  <c r="F55" i="4"/>
  <c r="B61" i="4"/>
  <c r="E90" i="4"/>
  <c r="E98" i="4"/>
  <c r="G98" i="4" s="1"/>
  <c r="B30" i="6"/>
  <c r="G30" i="6" s="1"/>
  <c r="B61" i="6"/>
  <c r="B29" i="4"/>
  <c r="E58" i="4"/>
  <c r="C61" i="4"/>
  <c r="E66" i="4"/>
  <c r="B88" i="4"/>
  <c r="B96" i="4"/>
  <c r="E27" i="6"/>
  <c r="E89" i="6"/>
  <c r="B19" i="3"/>
  <c r="B27" i="3"/>
  <c r="E26" i="4"/>
  <c r="B56" i="4"/>
  <c r="B64" i="4"/>
  <c r="C88" i="4"/>
  <c r="E93" i="4"/>
  <c r="C96" i="4"/>
  <c r="E19" i="5"/>
  <c r="C22" i="5"/>
  <c r="B17" i="5"/>
  <c r="B25" i="5"/>
  <c r="E61" i="4"/>
  <c r="B91" i="4"/>
  <c r="B99" i="4"/>
  <c r="E92" i="6"/>
  <c r="B22" i="3"/>
  <c r="B30" i="3"/>
  <c r="B59" i="4"/>
  <c r="E88" i="4"/>
  <c r="C91" i="4"/>
  <c r="E96" i="4"/>
  <c r="C99" i="4"/>
  <c r="C17" i="5"/>
  <c r="E22" i="5"/>
  <c r="C25" i="5"/>
  <c r="B20" i="5"/>
  <c r="E17" i="5"/>
  <c r="C20" i="5"/>
  <c r="E25" i="5"/>
  <c r="B62" i="4"/>
  <c r="E91" i="4"/>
  <c r="E99" i="4"/>
  <c r="E59" i="4"/>
  <c r="C62" i="4"/>
  <c r="B89" i="4"/>
  <c r="B97" i="4"/>
  <c r="B23" i="5"/>
  <c r="E20" i="5"/>
  <c r="C23" i="5"/>
  <c r="E62" i="4"/>
  <c r="B92" i="4"/>
  <c r="B18" i="5"/>
  <c r="B26" i="5"/>
  <c r="B60" i="4"/>
  <c r="E89" i="4"/>
  <c r="C92" i="4"/>
  <c r="E97" i="4"/>
  <c r="C18" i="5"/>
  <c r="E23" i="5"/>
  <c r="C26" i="5"/>
  <c r="B21" i="5"/>
  <c r="E18" i="5"/>
  <c r="C21" i="5"/>
  <c r="E26" i="5"/>
  <c r="B95" i="4"/>
  <c r="G95" i="4" s="1"/>
  <c r="E88" i="6"/>
  <c r="B55" i="4"/>
  <c r="E92" i="4"/>
  <c r="C95" i="4"/>
  <c r="B24" i="6"/>
  <c r="B32" i="6"/>
  <c r="B55" i="6"/>
  <c r="B23" i="4"/>
  <c r="C55" i="4"/>
  <c r="B90" i="4"/>
  <c r="C90" i="4"/>
  <c r="G58" i="6" l="1"/>
  <c r="G59" i="6"/>
  <c r="G24" i="5"/>
  <c r="G87" i="6"/>
  <c r="G61" i="6"/>
  <c r="D62" i="6"/>
  <c r="G62" i="6" s="1"/>
  <c r="D55" i="6"/>
  <c r="G55" i="6" s="1"/>
  <c r="D64" i="6"/>
  <c r="G64" i="6" s="1"/>
  <c r="D63" i="6"/>
  <c r="G63" i="6" s="1"/>
  <c r="D57" i="6"/>
  <c r="G57" i="6" s="1"/>
  <c r="D56" i="6"/>
  <c r="F19" i="5"/>
  <c r="F87" i="6"/>
  <c r="F24" i="5"/>
  <c r="D29" i="4"/>
  <c r="D24" i="4"/>
  <c r="G24" i="4" s="1"/>
  <c r="D23" i="4"/>
  <c r="D32" i="4"/>
  <c r="G32" i="4" s="1"/>
  <c r="G97" i="4"/>
  <c r="G64" i="4"/>
  <c r="G56" i="6"/>
  <c r="F23" i="5"/>
  <c r="G23" i="5" s="1"/>
  <c r="D66" i="4"/>
  <c r="G66" i="4" s="1"/>
  <c r="D58" i="4"/>
  <c r="D55" i="4"/>
  <c r="D62" i="4"/>
  <c r="D59" i="6"/>
  <c r="D61" i="6"/>
  <c r="D61" i="4"/>
  <c r="D60" i="4"/>
  <c r="D33" i="4"/>
  <c r="G33" i="4" s="1"/>
  <c r="F90" i="6"/>
  <c r="G90" i="6" s="1"/>
  <c r="F91" i="6"/>
  <c r="G91" i="6" s="1"/>
  <c r="F93" i="6"/>
  <c r="G93" i="6" s="1"/>
  <c r="F92" i="6"/>
  <c r="G21" i="5"/>
  <c r="G89" i="4"/>
  <c r="G56" i="4"/>
  <c r="G61" i="4"/>
  <c r="G90" i="4"/>
  <c r="G27" i="3"/>
  <c r="F28" i="3"/>
  <c r="F20" i="3"/>
  <c r="F26" i="3"/>
  <c r="F30" i="3"/>
  <c r="G30" i="3" s="1"/>
  <c r="F23" i="3"/>
  <c r="G23" i="3" s="1"/>
  <c r="F22" i="3"/>
  <c r="F25" i="3"/>
  <c r="D28" i="3"/>
  <c r="G28" i="3" s="1"/>
  <c r="D26" i="3"/>
  <c r="G26" i="3" s="1"/>
  <c r="D20" i="3"/>
  <c r="G20" i="3" s="1"/>
  <c r="D25" i="3"/>
  <c r="G25" i="3" s="1"/>
  <c r="F65" i="4"/>
  <c r="G65" i="4" s="1"/>
  <c r="F57" i="4"/>
  <c r="G57" i="4" s="1"/>
  <c r="F64" i="4"/>
  <c r="F56" i="4"/>
  <c r="F60" i="4"/>
  <c r="F59" i="4"/>
  <c r="D25" i="4"/>
  <c r="G25" i="4" s="1"/>
  <c r="F19" i="3"/>
  <c r="G19" i="3"/>
  <c r="G24" i="3"/>
  <c r="G23" i="4"/>
  <c r="G22" i="5"/>
  <c r="G99" i="4"/>
  <c r="F88" i="6"/>
  <c r="G88" i="6" s="1"/>
  <c r="F95" i="6"/>
  <c r="G95" i="6" s="1"/>
  <c r="G29" i="4"/>
  <c r="D60" i="6"/>
  <c r="G60" i="6" s="1"/>
  <c r="F61" i="4"/>
  <c r="F94" i="6"/>
  <c r="G94" i="6" s="1"/>
  <c r="F66" i="4"/>
  <c r="G96" i="6"/>
  <c r="F22" i="5"/>
  <c r="F58" i="4"/>
  <c r="D63" i="4"/>
  <c r="G63" i="4" s="1"/>
  <c r="G96" i="4"/>
  <c r="G24" i="6"/>
  <c r="G60" i="4"/>
  <c r="G88" i="4"/>
  <c r="G26" i="5"/>
  <c r="G25" i="5"/>
  <c r="D22" i="3"/>
  <c r="G22" i="3" s="1"/>
  <c r="G18" i="5"/>
  <c r="G17" i="5"/>
  <c r="D58" i="6"/>
  <c r="F25" i="5"/>
  <c r="D59" i="4"/>
  <c r="G59" i="4" s="1"/>
  <c r="G62" i="4"/>
  <c r="G32" i="6"/>
  <c r="G91" i="4"/>
  <c r="G19" i="5"/>
  <c r="G55" i="4"/>
  <c r="G92" i="4"/>
  <c r="F20" i="5"/>
  <c r="G20" i="5" s="1"/>
  <c r="G92" i="6"/>
  <c r="D31" i="6"/>
  <c r="G31" i="6" s="1"/>
  <c r="D23" i="6"/>
  <c r="G23" i="6" s="1"/>
  <c r="D25" i="6"/>
  <c r="G25" i="6" s="1"/>
  <c r="D26" i="6"/>
  <c r="G26" i="6" s="1"/>
  <c r="D32" i="6"/>
  <c r="D24" i="6"/>
  <c r="G58" i="4" l="1"/>
</calcChain>
</file>

<file path=xl/sharedStrings.xml><?xml version="1.0" encoding="utf-8"?>
<sst xmlns="http://schemas.openxmlformats.org/spreadsheetml/2006/main" count="404" uniqueCount="59">
  <si>
    <t>Model</t>
  </si>
  <si>
    <t>moc silnika [KM]</t>
  </si>
  <si>
    <t>miejsca dla pasażerów</t>
  </si>
  <si>
    <t>udogodnienia dla niepełnosprawnych</t>
  </si>
  <si>
    <t>koszt zakupu [mln zł]</t>
  </si>
  <si>
    <t>prestiż</t>
  </si>
  <si>
    <t>Solaris</t>
  </si>
  <si>
    <t>Urbino 15 LE electric</t>
  </si>
  <si>
    <t>niska podłoga, przyklęk</t>
  </si>
  <si>
    <t>Urbino 18 CNG</t>
  </si>
  <si>
    <t>niska podłoga, miejsce na wózek, przyklęk</t>
  </si>
  <si>
    <t>Urbino 18</t>
  </si>
  <si>
    <t>Urbino 12</t>
  </si>
  <si>
    <t>Urbino 12 CNG</t>
  </si>
  <si>
    <t>MAN bus</t>
  </si>
  <si>
    <t>MAN Lion's City 12 E</t>
  </si>
  <si>
    <t>niska podłoga, rampa, miejsce na wózek, przyklęk</t>
  </si>
  <si>
    <t>MAN Lion's Intercity LE 14</t>
  </si>
  <si>
    <t>MAN Lion's City 12 G</t>
  </si>
  <si>
    <t>Autosan</t>
  </si>
  <si>
    <t>SANCITY 12LFH</t>
  </si>
  <si>
    <t>niska podłoga, rampa, miejsce na wózek</t>
  </si>
  <si>
    <t>SANCITY 12LF</t>
  </si>
  <si>
    <t>Mercedes</t>
  </si>
  <si>
    <t>CapaCity L</t>
  </si>
  <si>
    <t>Nesobus</t>
  </si>
  <si>
    <t>Nesobus 12</t>
  </si>
  <si>
    <t>Urbino 10,5 electric</t>
  </si>
  <si>
    <t>Urbino 8,9 LE electric</t>
  </si>
  <si>
    <t>Urbino 8,9 LE</t>
  </si>
  <si>
    <t>MAN Lion's City 10 E</t>
  </si>
  <si>
    <t>SANCITY 9LE</t>
  </si>
  <si>
    <t>niska podłoga, rampa, miejsce na wózek, braille/piktogramy</t>
  </si>
  <si>
    <t>SANCITY 10LFE</t>
  </si>
  <si>
    <t>SANCITY 10LF</t>
  </si>
  <si>
    <t>Citaro K</t>
  </si>
  <si>
    <t>niska podłoga, rampa, miejsce na wózek, przyklęk, braille/piktogramy</t>
  </si>
  <si>
    <t>Iveco Bus</t>
  </si>
  <si>
    <t>Crossway 10.8LE</t>
  </si>
  <si>
    <t>Crossway Pro 10,8</t>
  </si>
  <si>
    <t>rampa, miejsce na wózek, przyklęk</t>
  </si>
  <si>
    <t>moc silnika [KM] MAX</t>
  </si>
  <si>
    <t>miejsca dla pasażerów MAX</t>
  </si>
  <si>
    <t>udogodnienia dla niepełnosprawnych MAX</t>
  </si>
  <si>
    <t>koszt zakupu [mln zł] MIN</t>
  </si>
  <si>
    <t>prestiż MAX</t>
  </si>
  <si>
    <t>MAX/MIN</t>
  </si>
  <si>
    <t>Waga</t>
  </si>
  <si>
    <t>koszt zakupu</t>
  </si>
  <si>
    <t>SAW</t>
  </si>
  <si>
    <t>moc silnika</t>
  </si>
  <si>
    <t>miejsca pasażerów</t>
  </si>
  <si>
    <t>udogodnienia niepełnosprawnych</t>
  </si>
  <si>
    <t>koszty zakupu</t>
  </si>
  <si>
    <t xml:space="preserve">prestiż </t>
  </si>
  <si>
    <t>Scenariusz oszczędny</t>
  </si>
  <si>
    <t>Scenariusz techniczny</t>
  </si>
  <si>
    <t>Scenariusz neutralny</t>
  </si>
  <si>
    <t xml:space="preserve">SAW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</si>
</sst>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zł&quot;;[Red]\-#,##0.00&quot; zł&quot;"/>
    <numFmt numFmtId="165" formatCode="yyyy\-mm\-dd"/>
    <numFmt numFmtId="166" formatCode="0.000"/>
  </numFmts>
  <fonts count="5" x14ac:knownFonts="1">
    <font>
      <sz val="11"/>
      <color theme="1"/>
      <name val="Aptos Narrow"/>
      <family val="2"/>
      <charset val="238"/>
    </font>
    <font>
      <b/>
      <sz val="11"/>
      <color theme="1"/>
      <name val="Aptos Narrow"/>
      <family val="2"/>
      <charset val="238"/>
    </font>
    <font>
      <b/>
      <sz val="11"/>
      <color theme="1"/>
      <name val="Aptos Narrow"/>
      <family val="2"/>
      <charset val="1"/>
    </font>
    <font>
      <sz val="11"/>
      <color theme="1"/>
      <name val="Aptos Narrow"/>
      <family val="2"/>
      <charset val="238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D9D9D9"/>
      </patternFill>
    </fill>
    <fill>
      <patternFill patternType="solid">
        <fgColor theme="0" tint="-0.14999847407452621"/>
        <bgColor rgb="FFBFBFBF"/>
      </patternFill>
    </fill>
    <fill>
      <patternFill patternType="solid">
        <fgColor theme="9" tint="0.59987182226020086"/>
        <bgColor rgb="FFD9D9D9"/>
      </patternFill>
    </fill>
    <fill>
      <patternFill patternType="solid">
        <fgColor rgb="FF00A933"/>
        <bgColor rgb="FF008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 applyBorder="0" applyProtection="0">
      <alignment horizontal="left"/>
    </xf>
    <xf numFmtId="0" fontId="3" fillId="0" borderId="0" applyBorder="0" applyProtection="0"/>
    <xf numFmtId="0" fontId="3" fillId="0" borderId="0" applyBorder="0" applyProtection="0"/>
    <xf numFmtId="0" fontId="1" fillId="0" borderId="0" applyBorder="0" applyProtection="0">
      <alignment horizontal="left"/>
    </xf>
    <xf numFmtId="0" fontId="3" fillId="0" borderId="0" applyBorder="0" applyProtection="0"/>
    <xf numFmtId="0" fontId="1" fillId="0" borderId="0" applyBorder="0" applyProtection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" fontId="0" fillId="0" borderId="0" xfId="0" applyNumberFormat="1"/>
    <xf numFmtId="164" fontId="0" fillId="0" borderId="0" xfId="0" applyNumberFormat="1"/>
    <xf numFmtId="1" fontId="0" fillId="3" borderId="0" xfId="0" applyNumberFormat="1" applyFill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4" borderId="0" xfId="0" applyFill="1"/>
    <xf numFmtId="2" fontId="0" fillId="4" borderId="0" xfId="0" applyNumberFormat="1" applyFill="1"/>
    <xf numFmtId="166" fontId="0" fillId="4" borderId="0" xfId="0" applyNumberFormat="1" applyFill="1"/>
    <xf numFmtId="0" fontId="0" fillId="5" borderId="0" xfId="0" applyFill="1"/>
    <xf numFmtId="2" fontId="0" fillId="5" borderId="0" xfId="0" applyNumberFormat="1" applyFill="1"/>
    <xf numFmtId="166" fontId="0" fillId="5" borderId="0" xfId="0" applyNumberFormat="1" applyFill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2" fontId="0" fillId="0" borderId="1" xfId="0" applyNumberFormat="1" applyBorder="1"/>
    <xf numFmtId="166" fontId="0" fillId="0" borderId="1" xfId="0" applyNumberFormat="1" applyBorder="1"/>
    <xf numFmtId="0" fontId="4" fillId="0" borderId="0" xfId="0" applyFont="1"/>
  </cellXfs>
  <cellStyles count="7">
    <cellStyle name="Kategoria tabeli przestawnej" xfId="1" xr:uid="{00000000-0005-0000-0000-000006000000}"/>
    <cellStyle name="Narożnik tabeli przestawnej" xfId="2" xr:uid="{00000000-0005-0000-0000-000007000000}"/>
    <cellStyle name="Normalny" xfId="0" builtinId="0"/>
    <cellStyle name="Pole tabeli przestawnej" xfId="3" xr:uid="{00000000-0005-0000-0000-000008000000}"/>
    <cellStyle name="Tytuł tabeli przestawnej" xfId="4" xr:uid="{00000000-0005-0000-0000-000009000000}"/>
    <cellStyle name="Wartość tabeli przestawnej" xfId="5" xr:uid="{00000000-0005-0000-0000-00000A000000}"/>
    <cellStyle name="Wynik tabeli przestawnej" xfId="6" xr:uid="{00000000-0005-0000-0000-00000B000000}"/>
  </cellStyles>
  <dxfs count="7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yk Klimek" refreshedDate="46183.871860185187" createdVersion="8" refreshedVersion="8" minRefreshableVersion="3" recordCount="10" xr:uid="{BF870400-6AAC-4AEA-AC65-4FA3FF2BA32D}">
  <cacheSource type="worksheet">
    <worksheetSource ref="A16:G26" sheet="Średnie autobusy SAW"/>
  </cacheSource>
  <cacheFields count="7">
    <cacheField name="Model" numFmtId="0">
      <sharedItems count="10">
        <s v="Urbino 10,5 electric"/>
        <s v="Urbino 8,9 LE electric"/>
        <s v="Urbino 8,9 LE"/>
        <s v="MAN Lion's City 10 E"/>
        <s v="SANCITY 9LE"/>
        <s v="SANCITY 10LFE"/>
        <s v="SANCITY 10LF"/>
        <s v="Citaro K"/>
        <s v="Crossway 10.8LE"/>
        <s v="Crossway Pro 10,8"/>
      </sharedItems>
    </cacheField>
    <cacheField name="moc silnika [KM]" numFmtId="2">
      <sharedItems containsSemiMixedTypes="0" containsString="0" containsNumber="1" minValue="0.15166666666666667" maxValue="0.26"/>
    </cacheField>
    <cacheField name="miejsca dla pasażerów" numFmtId="2">
      <sharedItems containsSemiMixedTypes="0" containsString="0" containsNumber="1" minValue="8.851063829787234E-2" maxValue="0.26"/>
    </cacheField>
    <cacheField name="udogodnienia dla niepełnosprawnych" numFmtId="2">
      <sharedItems containsSemiMixedTypes="0" containsString="0" containsNumber="1" minValue="6.6000000000000003E-2" maxValue="0.11"/>
    </cacheField>
    <cacheField name="koszt zakupu" numFmtId="2">
      <sharedItems containsSemiMixedTypes="0" containsString="0" containsNumber="1" minValue="2.5384615384615384E-2" maxValue="0.11"/>
    </cacheField>
    <cacheField name="prestiż" numFmtId="2">
      <sharedItems containsSemiMixedTypes="0" containsString="0" containsNumber="1" minValue="0.12000000000000001" maxValue="0.26"/>
    </cacheField>
    <cacheField name="SAW" numFmtId="166">
      <sharedItems containsSemiMixedTypes="0" containsString="0" containsNumber="1" minValue="0.568177304964539" maxValue="0.8493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yk Klimek" refreshedDate="46183.873278819447" createdVersion="8" refreshedVersion="8" minRefreshableVersion="3" recordCount="12" xr:uid="{294981E1-4E43-42F2-9E7C-AE8E91969EBF}">
  <cacheSource type="worksheet">
    <worksheetSource ref="A18:G30" sheet="Duże autobusy SAW"/>
  </cacheSource>
  <cacheFields count="7">
    <cacheField name="Model" numFmtId="0">
      <sharedItems count="12">
        <s v="Urbino 15 LE electric"/>
        <s v="Urbino 18 CNG"/>
        <s v="Urbino 18"/>
        <s v="Urbino 12"/>
        <s v="Urbino 12 CNG"/>
        <s v="MAN Lion's City 12 E"/>
        <s v="MAN Lion's Intercity LE 14"/>
        <s v="MAN Lion's City 12 G"/>
        <s v="SANCITY 12LFH"/>
        <s v="SANCITY 12LF"/>
        <s v="CapaCity L"/>
        <s v="Nesobus 12"/>
      </sharedItems>
    </cacheField>
    <cacheField name="moc silnika [KM]" numFmtId="2">
      <sharedItems containsSemiMixedTypes="0" containsString="0" containsNumber="1" minValue="0.16313725490196079" maxValue="0.26"/>
    </cacheField>
    <cacheField name="miejsca dla pasażerów" numFmtId="2">
      <sharedItems containsSemiMixedTypes="0" containsString="0" containsNumber="1" minValue="6.4000000000000001E-2" maxValue="0.26"/>
    </cacheField>
    <cacheField name="udogodnienia dla niepełnosprawnych" numFmtId="2">
      <sharedItems containsSemiMixedTypes="0" containsString="0" containsNumber="1" minValue="5.5E-2" maxValue="0.11"/>
    </cacheField>
    <cacheField name="koszt zakupu" numFmtId="2">
      <sharedItems containsSemiMixedTypes="0" containsString="0" containsNumber="1" minValue="3.3846153846153845E-2" maxValue="0.11"/>
    </cacheField>
    <cacheField name="prestiż" numFmtId="2">
      <sharedItems containsSemiMixedTypes="0" containsString="0" containsNumber="1" minValue="7.8E-2" maxValue="0.26"/>
    </cacheField>
    <cacheField name="SAW" numFmtId="166">
      <sharedItems containsSemiMixedTypes="0" containsString="0" containsNumber="1" minValue="0.56943137254901954" maxValue="0.812254901960784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0.24555555555555555"/>
    <n v="0.18255319148936172"/>
    <n v="6.6000000000000003E-2"/>
    <n v="2.5384615384615384E-2"/>
    <n v="0.12000000000000001"/>
    <n v="0.6394933624295327"/>
  </r>
  <r>
    <x v="1"/>
    <n v="0.15744444444444444"/>
    <n v="0.14936170212765959"/>
    <n v="8.8000000000000009E-2"/>
    <n v="2.75E-2"/>
    <n v="0.24000000000000002"/>
    <n v="0.66230614657210407"/>
  </r>
  <r>
    <x v="2"/>
    <n v="0.18055555555555555"/>
    <n v="0.18255319148936172"/>
    <n v="8.8000000000000009E-2"/>
    <n v="0.06"/>
    <n v="0.2"/>
    <n v="0.71110874704491733"/>
  </r>
  <r>
    <x v="3"/>
    <n v="0.23544444444444446"/>
    <n v="0.19914893617021276"/>
    <n v="8.8000000000000009E-2"/>
    <n v="2.5384615384615384E-2"/>
    <n v="0.15000000000000002"/>
    <n v="0.69797799599927257"/>
  </r>
  <r>
    <x v="4"/>
    <n v="0.15166666666666667"/>
    <n v="8.851063829787234E-2"/>
    <n v="8.8000000000000009E-2"/>
    <n v="0.11"/>
    <n v="0.13"/>
    <n v="0.568177304964539"/>
  </r>
  <r>
    <x v="5"/>
    <n v="0.24555555555555555"/>
    <n v="0.1327659574468085"/>
    <n v="8.8000000000000009E-2"/>
    <n v="0.03"/>
    <n v="0.15000000000000002"/>
    <n v="0.64632151300236407"/>
  </r>
  <r>
    <x v="6"/>
    <n v="0.1783888888888889"/>
    <n v="0.14382978723404255"/>
    <n v="6.6000000000000003E-2"/>
    <n v="7.3333333333333334E-2"/>
    <n v="0.17000000000000004"/>
    <n v="0.63155200945626477"/>
  </r>
  <r>
    <x v="7"/>
    <n v="0.21594444444444447"/>
    <n v="0.17702127659574468"/>
    <n v="0.11"/>
    <n v="5.0769230769230768E-2"/>
    <n v="0.25000000000000006"/>
    <n v="0.8037349518094199"/>
  </r>
  <r>
    <x v="8"/>
    <n v="0.23833333333333334"/>
    <n v="0.16042553191489362"/>
    <n v="8.8000000000000009E-2"/>
    <n v="0.06"/>
    <n v="0.26"/>
    <n v="0.80675886524822693"/>
  </r>
  <r>
    <x v="9"/>
    <n v="0.26"/>
    <n v="0.26"/>
    <n v="6.6000000000000003E-2"/>
    <n v="7.3333333333333334E-2"/>
    <n v="0.19000000000000003"/>
    <n v="0.849333333333333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26"/>
    <n v="0.26"/>
    <n v="5.5E-2"/>
    <n v="4.9999999999999996E-2"/>
    <n v="0.182"/>
    <n v="0.80700000000000016"/>
  </r>
  <r>
    <x v="1"/>
    <n v="0.20392156862745098"/>
    <n v="0.22"/>
    <n v="8.2500000000000004E-2"/>
    <n v="4.5833333333333337E-2"/>
    <n v="0.26"/>
    <n v="0.81225490196078431"/>
  </r>
  <r>
    <x v="2"/>
    <n v="0.19754901960784313"/>
    <n v="0.21600000000000003"/>
    <n v="8.2500000000000004E-2"/>
    <n v="6.1111111111111116E-2"/>
    <n v="0.16466666666666666"/>
    <n v="0.72182679738562094"/>
  </r>
  <r>
    <x v="3"/>
    <n v="0.16313725490196079"/>
    <n v="6.4000000000000001E-2"/>
    <n v="8.2500000000000004E-2"/>
    <n v="0.11"/>
    <n v="0.22533333333333333"/>
    <n v="0.64497058823529407"/>
  </r>
  <r>
    <x v="4"/>
    <n v="0.20392156862745098"/>
    <n v="0.16"/>
    <n v="8.2500000000000004E-2"/>
    <n v="9.9999999999999992E-2"/>
    <n v="0.12133333333333333"/>
    <n v="0.66775490196078424"/>
  </r>
  <r>
    <x v="5"/>
    <n v="0.2077450980392157"/>
    <n v="0.17600000000000002"/>
    <n v="0.11"/>
    <n v="4.2307692307692303E-2"/>
    <n v="0.16466666666666666"/>
    <n v="0.70071945701357463"/>
  </r>
  <r>
    <x v="6"/>
    <n v="0.16887254901960785"/>
    <n v="0.252"/>
    <n v="8.2500000000000004E-2"/>
    <n v="6.1111111111111116E-2"/>
    <n v="0.16466666666666666"/>
    <n v="0.72915032679738556"/>
  </r>
  <r>
    <x v="7"/>
    <n v="0.17843137254901961"/>
    <n v="0.14799999999999999"/>
    <n v="0.11"/>
    <n v="5.5E-2"/>
    <n v="7.8E-2"/>
    <n v="0.56943137254901954"/>
  </r>
  <r>
    <x v="8"/>
    <n v="0.21921568627450982"/>
    <n v="0.16"/>
    <n v="8.2500000000000004E-2"/>
    <n v="3.3846153846153845E-2"/>
    <n v="0.20800000000000002"/>
    <n v="0.70356184012066381"/>
  </r>
  <r>
    <x v="9"/>
    <n v="0.17651960784313728"/>
    <n v="0.16"/>
    <n v="8.2500000000000004E-2"/>
    <n v="0.11"/>
    <n v="0.10400000000000001"/>
    <n v="0.63301960784313727"/>
  </r>
  <r>
    <x v="10"/>
    <n v="0.22941176470588234"/>
    <n v="0.17600000000000002"/>
    <n v="0.11"/>
    <n v="5.5E-2"/>
    <n v="0.22533333333333333"/>
    <n v="0.79574509803921578"/>
  </r>
  <r>
    <x v="11"/>
    <n v="0.21666666666666667"/>
    <n v="0.14799999999999999"/>
    <n v="8.2500000000000004E-2"/>
    <n v="3.793103448275862E-2"/>
    <n v="0.2513333333333333"/>
    <n v="0.736431034482758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8E078F-A13D-4949-854A-A27AFC5B313C}" name="Tabela przestawna2" cacheId="9" applyNumberFormats="0" applyBorderFormats="0" applyFontFormats="0" applyPatternFormats="0" applyAlignmentFormats="0" applyWidthHeightFormats="1" dataCaption="Wartości" updatedVersion="8" minRefreshableVersion="3" rowGrandTotals="0" colGrandTotals="0" itemPrintTitles="1" createdVersion="8" indent="0" outline="1" outlineData="1" multipleFieldFilters="0" rowHeaderCaption="Model">
  <location ref="A33:G45" firstHeaderRow="0" firstDataRow="1" firstDataCol="1"/>
  <pivotFields count="7">
    <pivotField axis="axisRow" showAll="0" sortType="descending">
      <items count="13">
        <item x="10"/>
        <item x="5"/>
        <item x="7"/>
        <item x="6"/>
        <item x="11"/>
        <item x="9"/>
        <item x="8"/>
        <item x="3"/>
        <item x="4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dataField="1" numFmtId="2" showAll="0"/>
    <pivotField dataField="1" numFmtId="2" showAll="0"/>
    <pivotField dataField="1" numFmtId="2" showAll="0"/>
    <pivotField dataField="1" numFmtId="2" showAll="0"/>
    <pivotField dataField="1" numFmtId="2" showAll="0"/>
    <pivotField dataField="1" numFmtId="166" showAll="0"/>
  </pivotFields>
  <rowFields count="1">
    <field x="0"/>
  </rowFields>
  <rowItems count="12">
    <i>
      <x v="11"/>
    </i>
    <i>
      <x v="9"/>
    </i>
    <i>
      <x/>
    </i>
    <i>
      <x v="4"/>
    </i>
    <i>
      <x v="3"/>
    </i>
    <i>
      <x v="10"/>
    </i>
    <i>
      <x v="6"/>
    </i>
    <i>
      <x v="1"/>
    </i>
    <i>
      <x v="8"/>
    </i>
    <i>
      <x v="7"/>
    </i>
    <i>
      <x v="5"/>
    </i>
    <i>
      <x v="2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oc silnika" fld="1" baseField="0" baseItem="0" numFmtId="2"/>
    <dataField name="miejsca pasażerów" fld="2" baseField="0" baseItem="0" numFmtId="2"/>
    <dataField name="udogodnienia niepełnosprawnych" fld="3" baseField="0" baseItem="0" numFmtId="2"/>
    <dataField name="koszty zakupu" fld="4" baseField="0" baseItem="0" numFmtId="2"/>
    <dataField name="prestiż " fld="5" baseField="0" baseItem="0" numFmtId="2"/>
    <dataField name="SAW " fld="6" baseField="0" baseItem="0" numFmtId="166"/>
  </dataFields>
  <formats count="5"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fieldPosition="0">
        <references count="1">
          <reference field="0" count="0"/>
        </references>
      </pivotArea>
    </format>
    <format dxfId="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032AC-D70F-4FA5-9199-348A9962E911}" name="Tabela przestawna1" cacheId="5" applyNumberFormats="0" applyBorderFormats="0" applyFontFormats="0" applyPatternFormats="0" applyAlignmentFormats="0" applyWidthHeightFormats="1" dataCaption="Wartości" updatedVersion="8" minRefreshableVersion="3" rowGrandTotals="0" colGrandTotals="0" itemPrintTitles="1" createdVersion="8" indent="0" outline="1" outlineData="1" multipleFieldFilters="0" rowHeaderCaption="Model">
  <location ref="A29:G39" firstHeaderRow="0" firstDataRow="1" firstDataCol="1"/>
  <pivotFields count="7">
    <pivotField axis="axisRow" showAll="0" sortType="descending">
      <items count="11">
        <item x="7"/>
        <item x="8"/>
        <item x="9"/>
        <item x="3"/>
        <item x="6"/>
        <item x="5"/>
        <item x="4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dataField="1" numFmtId="2" showAll="0"/>
    <pivotField dataField="1" numFmtId="2" showAll="0"/>
    <pivotField dataField="1" numFmtId="2" showAll="0"/>
    <pivotField dataField="1" numFmtId="2" showAll="0"/>
    <pivotField dataField="1" numFmtId="2" showAll="0"/>
    <pivotField dataField="1" numFmtId="166" showAll="0"/>
  </pivotFields>
  <rowFields count="1">
    <field x="0"/>
  </rowFields>
  <rowItems count="10">
    <i>
      <x v="2"/>
    </i>
    <i>
      <x v="1"/>
    </i>
    <i>
      <x/>
    </i>
    <i>
      <x v="8"/>
    </i>
    <i>
      <x v="3"/>
    </i>
    <i>
      <x v="9"/>
    </i>
    <i>
      <x v="5"/>
    </i>
    <i>
      <x v="7"/>
    </i>
    <i>
      <x v="4"/>
    </i>
    <i>
      <x v="6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oc silnika" fld="1" baseField="0" baseItem="0" numFmtId="2"/>
    <dataField name="miejsca pasażerów" fld="2" baseField="0" baseItem="0" numFmtId="2"/>
    <dataField name="udogodnienia niepełnosprawnych" fld="3" baseField="0" baseItem="0" numFmtId="2"/>
    <dataField name="koszty zakupu" fld="4" baseField="0" baseItem="0" numFmtId="2"/>
    <dataField name="prestiż " fld="5" baseField="0" baseItem="0" numFmtId="2"/>
    <dataField name="SAW " fld="6" baseField="0" baseItem="0" numFmtId="166"/>
  </dataFields>
  <formats count="5">
    <format dxfId="74">
      <pivotArea type="all" dataOnly="0" outline="0" fieldPosition="0"/>
    </format>
    <format dxfId="73">
      <pivotArea outline="0" collapsedLevelsAreSubtotals="1" fieldPosition="0"/>
    </format>
    <format dxfId="72">
      <pivotArea field="0" type="button" dataOnly="0" labelOnly="1" outline="0" axis="axisRow" fieldPosition="0"/>
    </format>
    <format dxfId="71">
      <pivotArea dataOnly="0" labelOnly="1" fieldPosition="0">
        <references count="1">
          <reference field="0" count="0"/>
        </references>
      </pivotArea>
    </format>
    <format dxfId="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zoomScaleNormal="100" workbookViewId="0">
      <selection activeCell="C28" sqref="C28"/>
    </sheetView>
  </sheetViews>
  <sheetFormatPr defaultColWidth="8.5703125" defaultRowHeight="15" x14ac:dyDescent="0.25"/>
  <cols>
    <col min="1" max="1" width="23.28515625" customWidth="1"/>
    <col min="2" max="2" width="22.85546875" customWidth="1"/>
    <col min="3" max="3" width="21.42578125" customWidth="1"/>
    <col min="4" max="4" width="35.28515625" customWidth="1"/>
    <col min="5" max="5" width="21.28515625" customWidth="1"/>
    <col min="6" max="6" width="13.7109375" customWidth="1"/>
    <col min="7" max="7" width="13.28515625" customWidth="1"/>
    <col min="9" max="9" width="10.8554687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spans="1:9" x14ac:dyDescent="0.25">
      <c r="A2" s="3" t="s">
        <v>6</v>
      </c>
      <c r="B2" s="4"/>
      <c r="C2" s="4"/>
      <c r="D2" s="4"/>
      <c r="E2" s="4"/>
      <c r="F2" s="4"/>
    </row>
    <row r="3" spans="1:9" x14ac:dyDescent="0.25">
      <c r="A3" t="s">
        <v>7</v>
      </c>
      <c r="B3">
        <v>408</v>
      </c>
      <c r="C3">
        <v>65</v>
      </c>
      <c r="D3" t="s">
        <v>8</v>
      </c>
      <c r="E3">
        <v>2.2000000000000002</v>
      </c>
      <c r="F3" s="5">
        <f>AVERAGE(10,6,5)</f>
        <v>7</v>
      </c>
      <c r="I3" s="6"/>
    </row>
    <row r="4" spans="1:9" x14ac:dyDescent="0.25">
      <c r="A4" t="s">
        <v>9</v>
      </c>
      <c r="B4">
        <v>320</v>
      </c>
      <c r="C4">
        <v>55</v>
      </c>
      <c r="D4" t="s">
        <v>10</v>
      </c>
      <c r="E4">
        <v>2.4</v>
      </c>
      <c r="F4" s="5">
        <v>10</v>
      </c>
    </row>
    <row r="5" spans="1:9" x14ac:dyDescent="0.25">
      <c r="A5" t="s">
        <v>11</v>
      </c>
      <c r="B5">
        <v>310</v>
      </c>
      <c r="C5">
        <v>54</v>
      </c>
      <c r="D5" t="s">
        <v>10</v>
      </c>
      <c r="E5">
        <v>1.8</v>
      </c>
      <c r="F5" s="5">
        <f>AVERAGE(5,4,10)</f>
        <v>6.333333333333333</v>
      </c>
    </row>
    <row r="6" spans="1:9" x14ac:dyDescent="0.25">
      <c r="A6" t="s">
        <v>12</v>
      </c>
      <c r="B6">
        <v>256</v>
      </c>
      <c r="C6">
        <v>16</v>
      </c>
      <c r="D6" t="s">
        <v>10</v>
      </c>
      <c r="E6">
        <v>1</v>
      </c>
      <c r="F6" s="5">
        <f>AVERAGE(8,8,10)</f>
        <v>8.6666666666666661</v>
      </c>
      <c r="I6" s="6"/>
    </row>
    <row r="7" spans="1:9" x14ac:dyDescent="0.25">
      <c r="A7" t="s">
        <v>13</v>
      </c>
      <c r="B7">
        <v>320</v>
      </c>
      <c r="C7">
        <v>40</v>
      </c>
      <c r="D7" t="s">
        <v>10</v>
      </c>
      <c r="E7">
        <v>1.1000000000000001</v>
      </c>
      <c r="F7" s="5">
        <f>AVERAGE(3,1,10)</f>
        <v>4.666666666666667</v>
      </c>
    </row>
    <row r="8" spans="1:9" x14ac:dyDescent="0.25">
      <c r="A8" s="3" t="s">
        <v>14</v>
      </c>
      <c r="B8" s="4"/>
      <c r="C8" s="4"/>
      <c r="D8" s="4"/>
      <c r="E8" s="4"/>
      <c r="F8" s="7"/>
    </row>
    <row r="9" spans="1:9" x14ac:dyDescent="0.25">
      <c r="A9" t="s">
        <v>15</v>
      </c>
      <c r="B9">
        <v>326</v>
      </c>
      <c r="C9">
        <v>44</v>
      </c>
      <c r="D9" t="s">
        <v>16</v>
      </c>
      <c r="E9">
        <v>2.6</v>
      </c>
      <c r="F9" s="5">
        <f>AVERAGE(7,4,8)</f>
        <v>6.333333333333333</v>
      </c>
    </row>
    <row r="10" spans="1:9" x14ac:dyDescent="0.25">
      <c r="A10" t="s">
        <v>17</v>
      </c>
      <c r="B10">
        <v>265</v>
      </c>
      <c r="C10">
        <v>63</v>
      </c>
      <c r="D10" t="s">
        <v>10</v>
      </c>
      <c r="E10">
        <v>1.8</v>
      </c>
      <c r="F10" s="5">
        <f>AVERAGE(9,4,6)</f>
        <v>6.333333333333333</v>
      </c>
    </row>
    <row r="11" spans="1:9" x14ac:dyDescent="0.25">
      <c r="A11" t="s">
        <v>18</v>
      </c>
      <c r="B11">
        <v>280</v>
      </c>
      <c r="C11">
        <v>37</v>
      </c>
      <c r="D11" t="s">
        <v>16</v>
      </c>
      <c r="E11">
        <v>2</v>
      </c>
      <c r="F11" s="5">
        <f>AVERAGE(4,4,1)</f>
        <v>3</v>
      </c>
    </row>
    <row r="12" spans="1:9" x14ac:dyDescent="0.25">
      <c r="A12" s="3" t="s">
        <v>19</v>
      </c>
      <c r="B12" s="4"/>
      <c r="C12" s="4"/>
      <c r="D12" s="4"/>
      <c r="E12" s="4"/>
      <c r="F12" s="7"/>
      <c r="I12" s="8"/>
    </row>
    <row r="13" spans="1:9" x14ac:dyDescent="0.25">
      <c r="A13" t="s">
        <v>20</v>
      </c>
      <c r="B13">
        <v>344</v>
      </c>
      <c r="C13">
        <v>40</v>
      </c>
      <c r="D13" t="s">
        <v>21</v>
      </c>
      <c r="E13">
        <v>3.25</v>
      </c>
      <c r="F13" s="5">
        <f>AVERAGE(10,10,4)</f>
        <v>8</v>
      </c>
    </row>
    <row r="14" spans="1:9" x14ac:dyDescent="0.25">
      <c r="A14" t="s">
        <v>22</v>
      </c>
      <c r="B14">
        <v>277</v>
      </c>
      <c r="C14">
        <v>40</v>
      </c>
      <c r="D14" t="s">
        <v>21</v>
      </c>
      <c r="E14">
        <v>1</v>
      </c>
      <c r="F14" s="5">
        <f>AVERAGE(5,4,3)</f>
        <v>4</v>
      </c>
    </row>
    <row r="15" spans="1:9" x14ac:dyDescent="0.25">
      <c r="A15" s="3" t="s">
        <v>23</v>
      </c>
      <c r="B15" s="4"/>
      <c r="C15" s="4"/>
      <c r="D15" s="4"/>
      <c r="E15" s="4"/>
      <c r="F15" s="7"/>
    </row>
    <row r="16" spans="1:9" x14ac:dyDescent="0.25">
      <c r="A16" t="s">
        <v>24</v>
      </c>
      <c r="B16">
        <v>360</v>
      </c>
      <c r="C16">
        <v>44</v>
      </c>
      <c r="D16" t="s">
        <v>16</v>
      </c>
      <c r="E16">
        <v>2</v>
      </c>
      <c r="F16" s="5">
        <f>AVERAGE(8,9,9)</f>
        <v>8.6666666666666661</v>
      </c>
    </row>
    <row r="17" spans="1:6" x14ac:dyDescent="0.25">
      <c r="A17" s="3" t="s">
        <v>25</v>
      </c>
      <c r="B17" s="4"/>
      <c r="C17" s="4"/>
      <c r="D17" s="4"/>
      <c r="E17" s="4"/>
      <c r="F17" s="7"/>
    </row>
    <row r="18" spans="1:6" x14ac:dyDescent="0.25">
      <c r="A18" t="s">
        <v>26</v>
      </c>
      <c r="B18">
        <v>340</v>
      </c>
      <c r="C18">
        <v>37</v>
      </c>
      <c r="D18" t="s">
        <v>21</v>
      </c>
      <c r="E18">
        <v>2.9</v>
      </c>
      <c r="F18" s="5">
        <f>AVERAGE(10,9,10)</f>
        <v>9.6666666666666661</v>
      </c>
    </row>
    <row r="20" spans="1:6" x14ac:dyDescent="0.25">
      <c r="D20">
        <f>IF(D3="",0, LEN(D3) - LEN(SUBSTITUTE(D3,",",""))+1)</f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>
      <selection activeCell="D29" sqref="D29"/>
    </sheetView>
  </sheetViews>
  <sheetFormatPr defaultColWidth="8.5703125" defaultRowHeight="15" x14ac:dyDescent="0.25"/>
  <cols>
    <col min="1" max="1" width="21" customWidth="1"/>
    <col min="2" max="2" width="16" customWidth="1"/>
    <col min="3" max="3" width="21.7109375" customWidth="1"/>
    <col min="4" max="4" width="35.140625" customWidth="1"/>
    <col min="5" max="5" width="19.85546875" customWidth="1"/>
    <col min="6" max="6" width="9.42578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3" t="s">
        <v>6</v>
      </c>
      <c r="B2" s="4"/>
      <c r="C2" s="4"/>
      <c r="D2" s="4"/>
      <c r="E2" s="4"/>
      <c r="F2" s="4"/>
    </row>
    <row r="3" spans="1:6" x14ac:dyDescent="0.25">
      <c r="A3" t="s">
        <v>27</v>
      </c>
      <c r="B3">
        <v>340</v>
      </c>
      <c r="C3">
        <v>33</v>
      </c>
      <c r="D3" t="s">
        <v>10</v>
      </c>
      <c r="E3">
        <v>2.6</v>
      </c>
      <c r="F3" s="5">
        <f>AVERAGE(6,4,2)</f>
        <v>4</v>
      </c>
    </row>
    <row r="4" spans="1:6" x14ac:dyDescent="0.25">
      <c r="A4" t="s">
        <v>28</v>
      </c>
      <c r="B4">
        <v>218</v>
      </c>
      <c r="C4">
        <v>27</v>
      </c>
      <c r="D4" t="s">
        <v>16</v>
      </c>
      <c r="E4">
        <v>2.4</v>
      </c>
      <c r="F4" s="5">
        <f>AVERAGE(6,8,10)</f>
        <v>8</v>
      </c>
    </row>
    <row r="5" spans="1:6" x14ac:dyDescent="0.25">
      <c r="A5" t="s">
        <v>29</v>
      </c>
      <c r="B5">
        <v>250</v>
      </c>
      <c r="C5">
        <v>33</v>
      </c>
      <c r="D5" t="s">
        <v>16</v>
      </c>
      <c r="E5">
        <v>1.1000000000000001</v>
      </c>
      <c r="F5" s="5">
        <f>AVERAGE(10,5,5)</f>
        <v>6.666666666666667</v>
      </c>
    </row>
    <row r="6" spans="1:6" x14ac:dyDescent="0.25">
      <c r="A6" s="3" t="s">
        <v>14</v>
      </c>
      <c r="B6" s="4"/>
      <c r="C6" s="4"/>
      <c r="D6" s="4"/>
      <c r="E6" s="4"/>
      <c r="F6" s="7"/>
    </row>
    <row r="7" spans="1:6" x14ac:dyDescent="0.25">
      <c r="A7" t="s">
        <v>30</v>
      </c>
      <c r="B7">
        <v>326</v>
      </c>
      <c r="C7">
        <v>36</v>
      </c>
      <c r="D7" t="s">
        <v>16</v>
      </c>
      <c r="E7">
        <v>2.6</v>
      </c>
      <c r="F7" s="5">
        <f>AVERAGE(5,5,5)</f>
        <v>5</v>
      </c>
    </row>
    <row r="8" spans="1:6" x14ac:dyDescent="0.25">
      <c r="A8" s="3" t="s">
        <v>19</v>
      </c>
      <c r="B8" s="4"/>
      <c r="C8" s="4"/>
      <c r="D8" s="4"/>
      <c r="E8" s="4"/>
      <c r="F8" s="7"/>
    </row>
    <row r="9" spans="1:6" x14ac:dyDescent="0.25">
      <c r="A9" t="s">
        <v>31</v>
      </c>
      <c r="B9">
        <v>210</v>
      </c>
      <c r="C9">
        <v>16</v>
      </c>
      <c r="D9" t="s">
        <v>32</v>
      </c>
      <c r="E9">
        <v>0.6</v>
      </c>
      <c r="F9" s="5">
        <f>AVERAGE(3,6,4)</f>
        <v>4.333333333333333</v>
      </c>
    </row>
    <row r="10" spans="1:6" x14ac:dyDescent="0.25">
      <c r="A10" t="s">
        <v>33</v>
      </c>
      <c r="B10">
        <v>340</v>
      </c>
      <c r="C10">
        <v>24</v>
      </c>
      <c r="D10" t="s">
        <v>16</v>
      </c>
      <c r="E10">
        <v>2.2000000000000002</v>
      </c>
      <c r="F10" s="5">
        <f>AVERAGE(5,6,4)</f>
        <v>5</v>
      </c>
    </row>
    <row r="11" spans="1:6" x14ac:dyDescent="0.25">
      <c r="A11" t="s">
        <v>34</v>
      </c>
      <c r="B11">
        <v>247</v>
      </c>
      <c r="C11">
        <v>26</v>
      </c>
      <c r="D11" t="s">
        <v>21</v>
      </c>
      <c r="E11">
        <v>0.9</v>
      </c>
      <c r="F11" s="5">
        <f>AVERAGE(5,7,5)</f>
        <v>5.666666666666667</v>
      </c>
    </row>
    <row r="12" spans="1:6" x14ac:dyDescent="0.25">
      <c r="A12" s="3" t="s">
        <v>23</v>
      </c>
      <c r="B12" s="4"/>
      <c r="C12" s="4"/>
      <c r="D12" s="4"/>
      <c r="E12" s="4"/>
      <c r="F12" s="7"/>
    </row>
    <row r="13" spans="1:6" x14ac:dyDescent="0.25">
      <c r="A13" t="s">
        <v>35</v>
      </c>
      <c r="B13">
        <v>299</v>
      </c>
      <c r="C13">
        <v>32</v>
      </c>
      <c r="D13" t="s">
        <v>36</v>
      </c>
      <c r="E13">
        <v>1.3</v>
      </c>
      <c r="F13" s="5">
        <f>AVERAGE(9,9,7)</f>
        <v>8.3333333333333339</v>
      </c>
    </row>
    <row r="14" spans="1:6" x14ac:dyDescent="0.25">
      <c r="A14" s="3" t="s">
        <v>37</v>
      </c>
      <c r="B14" s="4"/>
      <c r="C14" s="4"/>
      <c r="D14" s="4"/>
      <c r="E14" s="4"/>
      <c r="F14" s="7"/>
    </row>
    <row r="15" spans="1:6" x14ac:dyDescent="0.25">
      <c r="A15" t="s">
        <v>38</v>
      </c>
      <c r="B15">
        <v>330</v>
      </c>
      <c r="C15">
        <v>29</v>
      </c>
      <c r="D15" t="s">
        <v>16</v>
      </c>
      <c r="E15">
        <v>1.1000000000000001</v>
      </c>
      <c r="F15" s="5">
        <f>AVERAGE(9,7,10)</f>
        <v>8.6666666666666661</v>
      </c>
    </row>
    <row r="16" spans="1:6" x14ac:dyDescent="0.25">
      <c r="A16" t="s">
        <v>39</v>
      </c>
      <c r="B16">
        <v>360</v>
      </c>
      <c r="C16">
        <v>47</v>
      </c>
      <c r="D16" t="s">
        <v>40</v>
      </c>
      <c r="E16">
        <v>0.9</v>
      </c>
      <c r="F16" s="5">
        <f>AVERAGE(8,3,8)</f>
        <v>6.333333333333333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5"/>
  <sheetViews>
    <sheetView tabSelected="1" topLeftCell="A16" zoomScaleNormal="100" workbookViewId="0">
      <selection activeCell="I39" sqref="I39"/>
    </sheetView>
  </sheetViews>
  <sheetFormatPr defaultColWidth="8.5703125" defaultRowHeight="15" x14ac:dyDescent="0.25"/>
  <cols>
    <col min="1" max="1" width="23.28515625" bestFit="1" customWidth="1"/>
    <col min="2" max="2" width="20.28515625" bestFit="1" customWidth="1"/>
    <col min="3" max="3" width="25.85546875" bestFit="1" customWidth="1"/>
    <col min="4" max="4" width="39.7109375" bestFit="1" customWidth="1"/>
    <col min="5" max="5" width="24" bestFit="1" customWidth="1"/>
    <col min="6" max="6" width="11.42578125" bestFit="1" customWidth="1"/>
    <col min="7" max="7" width="12.140625" customWidth="1"/>
    <col min="9" max="9" width="10.85546875" customWidth="1"/>
  </cols>
  <sheetData>
    <row r="1" spans="1:9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2"/>
    </row>
    <row r="2" spans="1:9" x14ac:dyDescent="0.25">
      <c r="A2" t="s">
        <v>7</v>
      </c>
      <c r="B2">
        <v>408</v>
      </c>
      <c r="C2">
        <v>65</v>
      </c>
      <c r="D2">
        <f>IF('Duże autobusy'!$D$3="",0, LEN('Duże autobusy'!$D$3) - LEN(SUBSTITUTE('Duże autobusy'!$D$3,",",""))+1)</f>
        <v>2</v>
      </c>
      <c r="E2">
        <v>2.2000000000000002</v>
      </c>
      <c r="F2" s="5">
        <f>AVERAGE(10,6,5)</f>
        <v>7</v>
      </c>
      <c r="I2" s="6"/>
    </row>
    <row r="3" spans="1:9" x14ac:dyDescent="0.25">
      <c r="A3" t="s">
        <v>9</v>
      </c>
      <c r="B3">
        <v>320</v>
      </c>
      <c r="C3">
        <v>55</v>
      </c>
      <c r="D3">
        <f>IF('Duże autobusy'!$D$4="",0, LEN('Duże autobusy'!$D$4) - LEN(SUBSTITUTE('Duże autobusy'!$D$4,",",""))+1)</f>
        <v>3</v>
      </c>
      <c r="E3">
        <v>2.4</v>
      </c>
      <c r="F3" s="5">
        <v>10</v>
      </c>
    </row>
    <row r="4" spans="1:9" x14ac:dyDescent="0.25">
      <c r="A4" t="s">
        <v>11</v>
      </c>
      <c r="B4">
        <v>310</v>
      </c>
      <c r="C4">
        <v>54</v>
      </c>
      <c r="D4">
        <f>IF('Duże autobusy'!$D$5="",0, LEN('Duże autobusy'!$D$5) - LEN(SUBSTITUTE('Duże autobusy'!$D$5,",",""))+1)</f>
        <v>3</v>
      </c>
      <c r="E4">
        <v>1.8</v>
      </c>
      <c r="F4" s="5">
        <f>AVERAGE(5,4,10)</f>
        <v>6.333333333333333</v>
      </c>
    </row>
    <row r="5" spans="1:9" x14ac:dyDescent="0.25">
      <c r="A5" t="s">
        <v>12</v>
      </c>
      <c r="B5">
        <v>256</v>
      </c>
      <c r="C5">
        <v>16</v>
      </c>
      <c r="D5">
        <f>IF('Duże autobusy'!$D$6="",0, LEN('Duże autobusy'!$D$6) - LEN(SUBSTITUTE('Duże autobusy'!$D$6,",",""))+1)</f>
        <v>3</v>
      </c>
      <c r="E5">
        <v>1</v>
      </c>
      <c r="F5" s="5">
        <f>AVERAGE(8,8,10)</f>
        <v>8.6666666666666661</v>
      </c>
      <c r="I5" s="6"/>
    </row>
    <row r="6" spans="1:9" x14ac:dyDescent="0.25">
      <c r="A6" t="s">
        <v>13</v>
      </c>
      <c r="B6">
        <v>320</v>
      </c>
      <c r="C6">
        <v>40</v>
      </c>
      <c r="D6">
        <f>IF('Duże autobusy'!$D$7="",0, LEN('Duże autobusy'!$D$7) - LEN(SUBSTITUTE('Duże autobusy'!$D$7,",",""))+1)</f>
        <v>3</v>
      </c>
      <c r="E6">
        <v>1.1000000000000001</v>
      </c>
      <c r="F6" s="5">
        <f>AVERAGE(3,1,10)</f>
        <v>4.666666666666667</v>
      </c>
    </row>
    <row r="7" spans="1:9" x14ac:dyDescent="0.25">
      <c r="A7" t="s">
        <v>15</v>
      </c>
      <c r="B7">
        <v>326</v>
      </c>
      <c r="C7">
        <v>44</v>
      </c>
      <c r="D7">
        <f>IF('Duże autobusy'!$D$9="",0, LEN('Duże autobusy'!$D$9) - LEN(SUBSTITUTE('Duże autobusy'!$D$9,",",""))+1)</f>
        <v>4</v>
      </c>
      <c r="E7">
        <v>2.6</v>
      </c>
      <c r="F7" s="5">
        <f>AVERAGE(7,4,8)</f>
        <v>6.333333333333333</v>
      </c>
    </row>
    <row r="8" spans="1:9" x14ac:dyDescent="0.25">
      <c r="A8" t="s">
        <v>17</v>
      </c>
      <c r="B8">
        <v>265</v>
      </c>
      <c r="C8">
        <v>63</v>
      </c>
      <c r="D8">
        <f>IF('Duże autobusy'!$D$10="",0, LEN('Duże autobusy'!$D$10) - LEN(SUBSTITUTE('Duże autobusy'!$D$10,",",""))+1)</f>
        <v>3</v>
      </c>
      <c r="E8">
        <v>1.8</v>
      </c>
      <c r="F8" s="5">
        <f>AVERAGE(9,4,6)</f>
        <v>6.333333333333333</v>
      </c>
    </row>
    <row r="9" spans="1:9" x14ac:dyDescent="0.25">
      <c r="A9" t="s">
        <v>18</v>
      </c>
      <c r="B9">
        <v>280</v>
      </c>
      <c r="C9">
        <v>37</v>
      </c>
      <c r="D9">
        <f>IF('Duże autobusy'!$D$11="",0, LEN('Duże autobusy'!$D$11) - LEN(SUBSTITUTE('Duże autobusy'!$D$11,",",""))+1)</f>
        <v>4</v>
      </c>
      <c r="E9">
        <v>2</v>
      </c>
      <c r="F9" s="5">
        <f>AVERAGE(4,4,1)</f>
        <v>3</v>
      </c>
    </row>
    <row r="10" spans="1:9" x14ac:dyDescent="0.25">
      <c r="A10" t="s">
        <v>20</v>
      </c>
      <c r="B10">
        <v>344</v>
      </c>
      <c r="C10">
        <v>40</v>
      </c>
      <c r="D10">
        <f>IF('Duże autobusy'!$D$13="",0, LEN('Duże autobusy'!$D$13) - LEN(SUBSTITUTE('Duże autobusy'!$D$13,",",""))+1)</f>
        <v>3</v>
      </c>
      <c r="E10">
        <v>3.25</v>
      </c>
      <c r="F10" s="5">
        <f>AVERAGE(10,10,4)</f>
        <v>8</v>
      </c>
    </row>
    <row r="11" spans="1:9" x14ac:dyDescent="0.25">
      <c r="A11" t="s">
        <v>22</v>
      </c>
      <c r="B11">
        <v>277</v>
      </c>
      <c r="C11">
        <v>40</v>
      </c>
      <c r="D11">
        <f>IF('Duże autobusy'!$D$14="",0, LEN('Duże autobusy'!$D$14) - LEN(SUBSTITUTE('Duże autobusy'!$D$14,",",""))+1)</f>
        <v>3</v>
      </c>
      <c r="E11">
        <v>1</v>
      </c>
      <c r="F11" s="5">
        <f>AVERAGE(5,4,3)</f>
        <v>4</v>
      </c>
    </row>
    <row r="12" spans="1:9" x14ac:dyDescent="0.25">
      <c r="A12" t="s">
        <v>24</v>
      </c>
      <c r="B12">
        <v>360</v>
      </c>
      <c r="C12">
        <v>44</v>
      </c>
      <c r="D12">
        <f>IF('Duże autobusy'!$D$16="",0, LEN('Duże autobusy'!$D$16) - LEN(SUBSTITUTE('Duże autobusy'!$D$16,",",""))+1)</f>
        <v>4</v>
      </c>
      <c r="E12">
        <v>2</v>
      </c>
      <c r="F12" s="5">
        <f>AVERAGE(8,9,9)</f>
        <v>8.6666666666666661</v>
      </c>
    </row>
    <row r="13" spans="1:9" x14ac:dyDescent="0.25">
      <c r="A13" t="s">
        <v>26</v>
      </c>
      <c r="B13">
        <v>340</v>
      </c>
      <c r="C13">
        <v>37</v>
      </c>
      <c r="D13">
        <f>IF('Duże autobusy'!$D$18="",0, LEN('Duże autobusy'!$D$18) - LEN(SUBSTITUTE('Duże autobusy'!$D$18,",",""))+1)</f>
        <v>3</v>
      </c>
      <c r="E13">
        <v>2.9</v>
      </c>
      <c r="F13" s="5">
        <f>AVERAGE(10,9,10)</f>
        <v>9.6666666666666661</v>
      </c>
    </row>
    <row r="15" spans="1:9" x14ac:dyDescent="0.25">
      <c r="A15" t="s">
        <v>46</v>
      </c>
      <c r="B15">
        <f>MAX(B2:B13)</f>
        <v>408</v>
      </c>
      <c r="C15">
        <f>MAX(C2:C13)</f>
        <v>65</v>
      </c>
      <c r="D15">
        <f>MAX(D2:D13)</f>
        <v>4</v>
      </c>
      <c r="E15">
        <f>MIN(E2:E13)</f>
        <v>1</v>
      </c>
      <c r="F15">
        <f>MAX(F2:F13)</f>
        <v>10</v>
      </c>
    </row>
    <row r="16" spans="1:9" x14ac:dyDescent="0.25">
      <c r="A16" t="s">
        <v>47</v>
      </c>
      <c r="B16">
        <v>0.26</v>
      </c>
      <c r="C16">
        <v>0.26</v>
      </c>
      <c r="D16">
        <v>0.11</v>
      </c>
      <c r="E16">
        <v>0.11</v>
      </c>
      <c r="F16">
        <v>0.26</v>
      </c>
      <c r="G16">
        <f>SUM(B16:F16)</f>
        <v>1</v>
      </c>
    </row>
    <row r="18" spans="1:7" x14ac:dyDescent="0.25">
      <c r="A18" s="1" t="s">
        <v>0</v>
      </c>
      <c r="B18" s="1" t="s">
        <v>1</v>
      </c>
      <c r="C18" s="1" t="s">
        <v>2</v>
      </c>
      <c r="D18" s="1" t="s">
        <v>3</v>
      </c>
      <c r="E18" s="1" t="s">
        <v>48</v>
      </c>
      <c r="F18" s="1" t="s">
        <v>5</v>
      </c>
      <c r="G18" s="1" t="s">
        <v>49</v>
      </c>
    </row>
    <row r="19" spans="1:7" x14ac:dyDescent="0.25">
      <c r="A19" t="s">
        <v>7</v>
      </c>
      <c r="B19" s="9">
        <f t="shared" ref="B19:D30" si="0">(B2/B$15)*B$16</f>
        <v>0.26</v>
      </c>
      <c r="C19" s="9">
        <f t="shared" si="0"/>
        <v>0.26</v>
      </c>
      <c r="D19" s="9">
        <f t="shared" si="0"/>
        <v>5.5E-2</v>
      </c>
      <c r="E19" s="9">
        <f t="shared" ref="E19:E30" si="1">($E$15/E2)*$E$16</f>
        <v>4.9999999999999996E-2</v>
      </c>
      <c r="F19" s="9">
        <f t="shared" ref="F19:F30" si="2">(F2/F$15)*F$16</f>
        <v>0.182</v>
      </c>
      <c r="G19" s="10">
        <f t="shared" ref="G19:G30" si="3">SUM(B19:F19)</f>
        <v>0.80700000000000016</v>
      </c>
    </row>
    <row r="20" spans="1:7" x14ac:dyDescent="0.25">
      <c r="A20" s="11" t="s">
        <v>9</v>
      </c>
      <c r="B20" s="12">
        <f t="shared" si="0"/>
        <v>0.20392156862745098</v>
      </c>
      <c r="C20" s="12">
        <f t="shared" si="0"/>
        <v>0.22</v>
      </c>
      <c r="D20" s="12">
        <f t="shared" si="0"/>
        <v>8.2500000000000004E-2</v>
      </c>
      <c r="E20" s="12">
        <f t="shared" si="1"/>
        <v>4.5833333333333337E-2</v>
      </c>
      <c r="F20" s="12">
        <f t="shared" si="2"/>
        <v>0.26</v>
      </c>
      <c r="G20" s="13">
        <f t="shared" si="3"/>
        <v>0.81225490196078431</v>
      </c>
    </row>
    <row r="21" spans="1:7" x14ac:dyDescent="0.25">
      <c r="A21" t="s">
        <v>11</v>
      </c>
      <c r="B21" s="9">
        <f t="shared" si="0"/>
        <v>0.19754901960784313</v>
      </c>
      <c r="C21" s="9">
        <f t="shared" si="0"/>
        <v>0.21600000000000003</v>
      </c>
      <c r="D21" s="9">
        <f t="shared" si="0"/>
        <v>8.2500000000000004E-2</v>
      </c>
      <c r="E21" s="9">
        <f t="shared" si="1"/>
        <v>6.1111111111111116E-2</v>
      </c>
      <c r="F21" s="9">
        <f t="shared" si="2"/>
        <v>0.16466666666666666</v>
      </c>
      <c r="G21" s="10">
        <f t="shared" si="3"/>
        <v>0.72182679738562094</v>
      </c>
    </row>
    <row r="22" spans="1:7" x14ac:dyDescent="0.25">
      <c r="A22" t="s">
        <v>12</v>
      </c>
      <c r="B22" s="9">
        <f t="shared" si="0"/>
        <v>0.16313725490196079</v>
      </c>
      <c r="C22" s="9">
        <f t="shared" si="0"/>
        <v>6.4000000000000001E-2</v>
      </c>
      <c r="D22" s="9">
        <f t="shared" si="0"/>
        <v>8.2500000000000004E-2</v>
      </c>
      <c r="E22" s="9">
        <f t="shared" si="1"/>
        <v>0.11</v>
      </c>
      <c r="F22" s="9">
        <f t="shared" si="2"/>
        <v>0.22533333333333333</v>
      </c>
      <c r="G22" s="10">
        <f t="shared" si="3"/>
        <v>0.64497058823529407</v>
      </c>
    </row>
    <row r="23" spans="1:7" x14ac:dyDescent="0.25">
      <c r="A23" t="s">
        <v>13</v>
      </c>
      <c r="B23" s="9">
        <f t="shared" si="0"/>
        <v>0.20392156862745098</v>
      </c>
      <c r="C23" s="9">
        <f t="shared" si="0"/>
        <v>0.16</v>
      </c>
      <c r="D23" s="9">
        <f t="shared" si="0"/>
        <v>8.2500000000000004E-2</v>
      </c>
      <c r="E23" s="9">
        <f t="shared" si="1"/>
        <v>9.9999999999999992E-2</v>
      </c>
      <c r="F23" s="9">
        <f t="shared" si="2"/>
        <v>0.12133333333333333</v>
      </c>
      <c r="G23" s="10">
        <f t="shared" si="3"/>
        <v>0.66775490196078424</v>
      </c>
    </row>
    <row r="24" spans="1:7" x14ac:dyDescent="0.25">
      <c r="A24" t="s">
        <v>15</v>
      </c>
      <c r="B24" s="9">
        <f t="shared" si="0"/>
        <v>0.2077450980392157</v>
      </c>
      <c r="C24" s="9">
        <f t="shared" si="0"/>
        <v>0.17600000000000002</v>
      </c>
      <c r="D24" s="9">
        <f t="shared" si="0"/>
        <v>0.11</v>
      </c>
      <c r="E24" s="9">
        <f t="shared" si="1"/>
        <v>4.2307692307692303E-2</v>
      </c>
      <c r="F24" s="9">
        <f t="shared" si="2"/>
        <v>0.16466666666666666</v>
      </c>
      <c r="G24" s="10">
        <f t="shared" si="3"/>
        <v>0.70071945701357463</v>
      </c>
    </row>
    <row r="25" spans="1:7" x14ac:dyDescent="0.25">
      <c r="A25" t="s">
        <v>17</v>
      </c>
      <c r="B25" s="9">
        <f t="shared" si="0"/>
        <v>0.16887254901960785</v>
      </c>
      <c r="C25" s="9">
        <f t="shared" si="0"/>
        <v>0.252</v>
      </c>
      <c r="D25" s="9">
        <f t="shared" si="0"/>
        <v>8.2500000000000004E-2</v>
      </c>
      <c r="E25" s="9">
        <f t="shared" si="1"/>
        <v>6.1111111111111116E-2</v>
      </c>
      <c r="F25" s="9">
        <f t="shared" si="2"/>
        <v>0.16466666666666666</v>
      </c>
      <c r="G25" s="10">
        <f t="shared" si="3"/>
        <v>0.72915032679738556</v>
      </c>
    </row>
    <row r="26" spans="1:7" x14ac:dyDescent="0.25">
      <c r="A26" t="s">
        <v>18</v>
      </c>
      <c r="B26" s="9">
        <f t="shared" si="0"/>
        <v>0.17843137254901961</v>
      </c>
      <c r="C26" s="9">
        <f t="shared" si="0"/>
        <v>0.14799999999999999</v>
      </c>
      <c r="D26" s="9">
        <f t="shared" si="0"/>
        <v>0.11</v>
      </c>
      <c r="E26" s="9">
        <f t="shared" si="1"/>
        <v>5.5E-2</v>
      </c>
      <c r="F26" s="9">
        <f t="shared" si="2"/>
        <v>7.8E-2</v>
      </c>
      <c r="G26" s="10">
        <f t="shared" si="3"/>
        <v>0.56943137254901954</v>
      </c>
    </row>
    <row r="27" spans="1:7" x14ac:dyDescent="0.25">
      <c r="A27" t="s">
        <v>20</v>
      </c>
      <c r="B27" s="9">
        <f t="shared" si="0"/>
        <v>0.21921568627450982</v>
      </c>
      <c r="C27" s="9">
        <f t="shared" si="0"/>
        <v>0.16</v>
      </c>
      <c r="D27" s="9">
        <f t="shared" si="0"/>
        <v>8.2500000000000004E-2</v>
      </c>
      <c r="E27" s="9">
        <f t="shared" si="1"/>
        <v>3.3846153846153845E-2</v>
      </c>
      <c r="F27" s="9">
        <f t="shared" si="2"/>
        <v>0.20800000000000002</v>
      </c>
      <c r="G27" s="10">
        <f t="shared" si="3"/>
        <v>0.70356184012066381</v>
      </c>
    </row>
    <row r="28" spans="1:7" x14ac:dyDescent="0.25">
      <c r="A28" t="s">
        <v>22</v>
      </c>
      <c r="B28" s="9">
        <f t="shared" si="0"/>
        <v>0.17651960784313728</v>
      </c>
      <c r="C28" s="9">
        <f t="shared" si="0"/>
        <v>0.16</v>
      </c>
      <c r="D28" s="9">
        <f t="shared" si="0"/>
        <v>8.2500000000000004E-2</v>
      </c>
      <c r="E28" s="9">
        <f t="shared" si="1"/>
        <v>0.11</v>
      </c>
      <c r="F28" s="9">
        <f t="shared" si="2"/>
        <v>0.10400000000000001</v>
      </c>
      <c r="G28" s="10">
        <f t="shared" si="3"/>
        <v>0.63301960784313727</v>
      </c>
    </row>
    <row r="29" spans="1:7" x14ac:dyDescent="0.25">
      <c r="A29" t="s">
        <v>24</v>
      </c>
      <c r="B29" s="9">
        <f t="shared" si="0"/>
        <v>0.22941176470588234</v>
      </c>
      <c r="C29" s="9">
        <f t="shared" si="0"/>
        <v>0.17600000000000002</v>
      </c>
      <c r="D29" s="9">
        <f t="shared" si="0"/>
        <v>0.11</v>
      </c>
      <c r="E29" s="9">
        <f t="shared" si="1"/>
        <v>5.5E-2</v>
      </c>
      <c r="F29" s="9">
        <f t="shared" si="2"/>
        <v>0.22533333333333333</v>
      </c>
      <c r="G29" s="10">
        <f t="shared" si="3"/>
        <v>0.79574509803921578</v>
      </c>
    </row>
    <row r="30" spans="1:7" x14ac:dyDescent="0.25">
      <c r="A30" t="s">
        <v>26</v>
      </c>
      <c r="B30" s="9">
        <f t="shared" si="0"/>
        <v>0.21666666666666667</v>
      </c>
      <c r="C30" s="9">
        <f t="shared" si="0"/>
        <v>0.14799999999999999</v>
      </c>
      <c r="D30" s="9">
        <f t="shared" si="0"/>
        <v>8.2500000000000004E-2</v>
      </c>
      <c r="E30" s="9">
        <f t="shared" si="1"/>
        <v>3.793103448275862E-2</v>
      </c>
      <c r="F30" s="9">
        <f t="shared" si="2"/>
        <v>0.2513333333333333</v>
      </c>
      <c r="G30" s="10">
        <f t="shared" si="3"/>
        <v>0.73643103448275871</v>
      </c>
    </row>
    <row r="33" spans="1:7" x14ac:dyDescent="0.25">
      <c r="A33" s="17" t="s">
        <v>0</v>
      </c>
      <c r="B33" s="18" t="s">
        <v>50</v>
      </c>
      <c r="C33" s="18" t="s">
        <v>51</v>
      </c>
      <c r="D33" s="18" t="s">
        <v>52</v>
      </c>
      <c r="E33" s="18" t="s">
        <v>53</v>
      </c>
      <c r="F33" s="18" t="s">
        <v>54</v>
      </c>
      <c r="G33" s="18" t="s">
        <v>58</v>
      </c>
    </row>
    <row r="34" spans="1:7" x14ac:dyDescent="0.25">
      <c r="A34" s="19" t="s">
        <v>9</v>
      </c>
      <c r="B34" s="20">
        <v>0.20392156862745098</v>
      </c>
      <c r="C34" s="20">
        <v>0.22</v>
      </c>
      <c r="D34" s="20">
        <v>8.2500000000000004E-2</v>
      </c>
      <c r="E34" s="20">
        <v>4.5833333333333337E-2</v>
      </c>
      <c r="F34" s="20">
        <v>0.26</v>
      </c>
      <c r="G34" s="21">
        <v>0.81225490196078431</v>
      </c>
    </row>
    <row r="35" spans="1:7" x14ac:dyDescent="0.25">
      <c r="A35" s="19" t="s">
        <v>7</v>
      </c>
      <c r="B35" s="20">
        <v>0.26</v>
      </c>
      <c r="C35" s="20">
        <v>0.26</v>
      </c>
      <c r="D35" s="20">
        <v>5.5E-2</v>
      </c>
      <c r="E35" s="20">
        <v>4.9999999999999996E-2</v>
      </c>
      <c r="F35" s="20">
        <v>0.182</v>
      </c>
      <c r="G35" s="21">
        <v>0.80700000000000016</v>
      </c>
    </row>
    <row r="36" spans="1:7" x14ac:dyDescent="0.25">
      <c r="A36" s="19" t="s">
        <v>24</v>
      </c>
      <c r="B36" s="20">
        <v>0.22941176470588234</v>
      </c>
      <c r="C36" s="20">
        <v>0.17600000000000002</v>
      </c>
      <c r="D36" s="20">
        <v>0.11</v>
      </c>
      <c r="E36" s="20">
        <v>5.5E-2</v>
      </c>
      <c r="F36" s="20">
        <v>0.22533333333333333</v>
      </c>
      <c r="G36" s="21">
        <v>0.79574509803921578</v>
      </c>
    </row>
    <row r="37" spans="1:7" x14ac:dyDescent="0.25">
      <c r="A37" s="19" t="s">
        <v>26</v>
      </c>
      <c r="B37" s="20">
        <v>0.21666666666666667</v>
      </c>
      <c r="C37" s="20">
        <v>0.14799999999999999</v>
      </c>
      <c r="D37" s="20">
        <v>8.2500000000000004E-2</v>
      </c>
      <c r="E37" s="20">
        <v>3.793103448275862E-2</v>
      </c>
      <c r="F37" s="20">
        <v>0.2513333333333333</v>
      </c>
      <c r="G37" s="21">
        <v>0.73643103448275871</v>
      </c>
    </row>
    <row r="38" spans="1:7" x14ac:dyDescent="0.25">
      <c r="A38" s="19" t="s">
        <v>17</v>
      </c>
      <c r="B38" s="20">
        <v>0.16887254901960785</v>
      </c>
      <c r="C38" s="20">
        <v>0.252</v>
      </c>
      <c r="D38" s="20">
        <v>8.2500000000000004E-2</v>
      </c>
      <c r="E38" s="20">
        <v>6.1111111111111116E-2</v>
      </c>
      <c r="F38" s="20">
        <v>0.16466666666666666</v>
      </c>
      <c r="G38" s="21">
        <v>0.72915032679738556</v>
      </c>
    </row>
    <row r="39" spans="1:7" x14ac:dyDescent="0.25">
      <c r="A39" s="19" t="s">
        <v>11</v>
      </c>
      <c r="B39" s="20">
        <v>0.19754901960784313</v>
      </c>
      <c r="C39" s="20">
        <v>0.21600000000000003</v>
      </c>
      <c r="D39" s="20">
        <v>8.2500000000000004E-2</v>
      </c>
      <c r="E39" s="20">
        <v>6.1111111111111116E-2</v>
      </c>
      <c r="F39" s="20">
        <v>0.16466666666666666</v>
      </c>
      <c r="G39" s="21">
        <v>0.72182679738562094</v>
      </c>
    </row>
    <row r="40" spans="1:7" x14ac:dyDescent="0.25">
      <c r="A40" s="19" t="s">
        <v>20</v>
      </c>
      <c r="B40" s="20">
        <v>0.21921568627450982</v>
      </c>
      <c r="C40" s="20">
        <v>0.16</v>
      </c>
      <c r="D40" s="20">
        <v>8.2500000000000004E-2</v>
      </c>
      <c r="E40" s="20">
        <v>3.3846153846153845E-2</v>
      </c>
      <c r="F40" s="20">
        <v>0.20800000000000002</v>
      </c>
      <c r="G40" s="21">
        <v>0.70356184012066381</v>
      </c>
    </row>
    <row r="41" spans="1:7" x14ac:dyDescent="0.25">
      <c r="A41" s="19" t="s">
        <v>15</v>
      </c>
      <c r="B41" s="20">
        <v>0.2077450980392157</v>
      </c>
      <c r="C41" s="20">
        <v>0.17600000000000002</v>
      </c>
      <c r="D41" s="20">
        <v>0.11</v>
      </c>
      <c r="E41" s="20">
        <v>4.2307692307692303E-2</v>
      </c>
      <c r="F41" s="20">
        <v>0.16466666666666666</v>
      </c>
      <c r="G41" s="21">
        <v>0.70071945701357463</v>
      </c>
    </row>
    <row r="42" spans="1:7" x14ac:dyDescent="0.25">
      <c r="A42" s="19" t="s">
        <v>13</v>
      </c>
      <c r="B42" s="20">
        <v>0.20392156862745098</v>
      </c>
      <c r="C42" s="20">
        <v>0.16</v>
      </c>
      <c r="D42" s="20">
        <v>8.2500000000000004E-2</v>
      </c>
      <c r="E42" s="20">
        <v>9.9999999999999992E-2</v>
      </c>
      <c r="F42" s="20">
        <v>0.12133333333333333</v>
      </c>
      <c r="G42" s="21">
        <v>0.66775490196078424</v>
      </c>
    </row>
    <row r="43" spans="1:7" x14ac:dyDescent="0.25">
      <c r="A43" s="19" t="s">
        <v>12</v>
      </c>
      <c r="B43" s="20">
        <v>0.16313725490196079</v>
      </c>
      <c r="C43" s="20">
        <v>6.4000000000000001E-2</v>
      </c>
      <c r="D43" s="20">
        <v>8.2500000000000004E-2</v>
      </c>
      <c r="E43" s="20">
        <v>0.11</v>
      </c>
      <c r="F43" s="20">
        <v>0.22533333333333333</v>
      </c>
      <c r="G43" s="21">
        <v>0.64497058823529407</v>
      </c>
    </row>
    <row r="44" spans="1:7" x14ac:dyDescent="0.25">
      <c r="A44" s="19" t="s">
        <v>22</v>
      </c>
      <c r="B44" s="20">
        <v>0.17651960784313728</v>
      </c>
      <c r="C44" s="20">
        <v>0.16</v>
      </c>
      <c r="D44" s="20">
        <v>8.2500000000000004E-2</v>
      </c>
      <c r="E44" s="20">
        <v>0.11</v>
      </c>
      <c r="F44" s="20">
        <v>0.10400000000000001</v>
      </c>
      <c r="G44" s="21">
        <v>0.63301960784313727</v>
      </c>
    </row>
    <row r="45" spans="1:7" x14ac:dyDescent="0.25">
      <c r="A45" s="19" t="s">
        <v>18</v>
      </c>
      <c r="B45" s="20">
        <v>0.17843137254901961</v>
      </c>
      <c r="C45" s="20">
        <v>0.14799999999999999</v>
      </c>
      <c r="D45" s="20">
        <v>0.11</v>
      </c>
      <c r="E45" s="20">
        <v>5.5E-2</v>
      </c>
      <c r="F45" s="20">
        <v>7.8E-2</v>
      </c>
      <c r="G45" s="21">
        <v>0.56943137254901954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9"/>
  <sheetViews>
    <sheetView topLeftCell="A10" zoomScaleNormal="100" workbookViewId="0">
      <selection activeCell="A29" sqref="A29"/>
    </sheetView>
  </sheetViews>
  <sheetFormatPr defaultColWidth="8.5703125" defaultRowHeight="15" x14ac:dyDescent="0.25"/>
  <cols>
    <col min="1" max="1" width="19.42578125" bestFit="1" customWidth="1"/>
    <col min="2" max="2" width="20.28515625" bestFit="1" customWidth="1"/>
    <col min="3" max="3" width="25.85546875" bestFit="1" customWidth="1"/>
    <col min="4" max="4" width="39.7109375" bestFit="1" customWidth="1"/>
    <col min="5" max="5" width="24" bestFit="1" customWidth="1"/>
    <col min="6" max="6" width="11.42578125" bestFit="1" customWidth="1"/>
    <col min="7" max="7" width="10.140625" customWidth="1"/>
  </cols>
  <sheetData>
    <row r="1" spans="1:7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</row>
    <row r="2" spans="1:7" x14ac:dyDescent="0.25">
      <c r="A2" t="s">
        <v>27</v>
      </c>
      <c r="B2">
        <v>340</v>
      </c>
      <c r="C2">
        <v>33</v>
      </c>
      <c r="D2">
        <f>IF('Średnie autobusy'!D3="",0, LEN('Średnie autobusy'!D3) - LEN(SUBSTITUTE('Średnie autobusy'!D3,",",""))+1)</f>
        <v>3</v>
      </c>
      <c r="E2">
        <v>2.6</v>
      </c>
      <c r="F2" s="5">
        <f>AVERAGE(6,4,2)</f>
        <v>4</v>
      </c>
    </row>
    <row r="3" spans="1:7" x14ac:dyDescent="0.25">
      <c r="A3" t="s">
        <v>28</v>
      </c>
      <c r="B3">
        <v>218</v>
      </c>
      <c r="C3">
        <v>27</v>
      </c>
      <c r="D3">
        <f>IF('Średnie autobusy'!D4="",0, LEN('Średnie autobusy'!D4) - LEN(SUBSTITUTE('Średnie autobusy'!D4,",",""))+1)</f>
        <v>4</v>
      </c>
      <c r="E3">
        <v>2.4</v>
      </c>
      <c r="F3" s="5">
        <f>AVERAGE(6,8,10)</f>
        <v>8</v>
      </c>
    </row>
    <row r="4" spans="1:7" x14ac:dyDescent="0.25">
      <c r="A4" t="s">
        <v>29</v>
      </c>
      <c r="B4">
        <v>250</v>
      </c>
      <c r="C4">
        <v>33</v>
      </c>
      <c r="D4">
        <f>IF('Średnie autobusy'!D5="",0, LEN('Średnie autobusy'!D5) - LEN(SUBSTITUTE('Średnie autobusy'!D5,",",""))+1)</f>
        <v>4</v>
      </c>
      <c r="E4">
        <v>1.1000000000000001</v>
      </c>
      <c r="F4" s="5">
        <f>AVERAGE(10,5,5)</f>
        <v>6.666666666666667</v>
      </c>
    </row>
    <row r="5" spans="1:7" x14ac:dyDescent="0.25">
      <c r="A5" t="s">
        <v>30</v>
      </c>
      <c r="B5">
        <v>326</v>
      </c>
      <c r="C5">
        <v>36</v>
      </c>
      <c r="D5">
        <f>IF('Średnie autobusy'!D7="",0, LEN('Średnie autobusy'!D7) - LEN(SUBSTITUTE('Średnie autobusy'!D7,",",""))+1)</f>
        <v>4</v>
      </c>
      <c r="E5">
        <v>2.6</v>
      </c>
      <c r="F5" s="5">
        <f>AVERAGE(5,5,5)</f>
        <v>5</v>
      </c>
    </row>
    <row r="6" spans="1:7" x14ac:dyDescent="0.25">
      <c r="A6" t="s">
        <v>31</v>
      </c>
      <c r="B6">
        <v>210</v>
      </c>
      <c r="C6">
        <v>16</v>
      </c>
      <c r="D6">
        <f>IF('Średnie autobusy'!D9="",0, LEN('Średnie autobusy'!D9) - LEN(SUBSTITUTE('Średnie autobusy'!D9,",",""))+1)</f>
        <v>4</v>
      </c>
      <c r="E6">
        <v>0.6</v>
      </c>
      <c r="F6" s="5">
        <f>AVERAGE(3,6,4)</f>
        <v>4.333333333333333</v>
      </c>
    </row>
    <row r="7" spans="1:7" x14ac:dyDescent="0.25">
      <c r="A7" t="s">
        <v>33</v>
      </c>
      <c r="B7">
        <v>340</v>
      </c>
      <c r="C7">
        <v>24</v>
      </c>
      <c r="D7">
        <f>IF('Średnie autobusy'!D10="",0, LEN('Średnie autobusy'!D10) - LEN(SUBSTITUTE('Średnie autobusy'!D10,",",""))+1)</f>
        <v>4</v>
      </c>
      <c r="E7">
        <v>2.2000000000000002</v>
      </c>
      <c r="F7" s="5">
        <f>AVERAGE(5,6,4)</f>
        <v>5</v>
      </c>
    </row>
    <row r="8" spans="1:7" x14ac:dyDescent="0.25">
      <c r="A8" t="s">
        <v>34</v>
      </c>
      <c r="B8">
        <v>247</v>
      </c>
      <c r="C8">
        <v>26</v>
      </c>
      <c r="D8">
        <f>IF('Średnie autobusy'!D11="",0, LEN('Średnie autobusy'!D11) - LEN(SUBSTITUTE('Średnie autobusy'!D11,",",""))+1)</f>
        <v>3</v>
      </c>
      <c r="E8">
        <v>0.9</v>
      </c>
      <c r="F8" s="5">
        <f>AVERAGE(5,7,5)</f>
        <v>5.666666666666667</v>
      </c>
    </row>
    <row r="9" spans="1:7" x14ac:dyDescent="0.25">
      <c r="A9" t="s">
        <v>35</v>
      </c>
      <c r="B9">
        <v>299</v>
      </c>
      <c r="C9">
        <v>32</v>
      </c>
      <c r="D9">
        <f>IF('Średnie autobusy'!D13="",0, LEN('Średnie autobusy'!D13) - LEN(SUBSTITUTE('Średnie autobusy'!D13,",",""))+1)</f>
        <v>5</v>
      </c>
      <c r="E9">
        <v>1.3</v>
      </c>
      <c r="F9" s="5">
        <f>AVERAGE(9,9,7)</f>
        <v>8.3333333333333339</v>
      </c>
    </row>
    <row r="10" spans="1:7" x14ac:dyDescent="0.25">
      <c r="A10" t="s">
        <v>38</v>
      </c>
      <c r="B10">
        <v>330</v>
      </c>
      <c r="C10">
        <v>29</v>
      </c>
      <c r="D10">
        <f>IF('Średnie autobusy'!D15="",0, LEN('Średnie autobusy'!D15) - LEN(SUBSTITUTE('Średnie autobusy'!D15,",",""))+1)</f>
        <v>4</v>
      </c>
      <c r="E10">
        <v>1.1000000000000001</v>
      </c>
      <c r="F10" s="5">
        <f>AVERAGE(9,7,10)</f>
        <v>8.6666666666666661</v>
      </c>
    </row>
    <row r="11" spans="1:7" x14ac:dyDescent="0.25">
      <c r="A11" t="s">
        <v>39</v>
      </c>
      <c r="B11">
        <v>360</v>
      </c>
      <c r="C11">
        <v>47</v>
      </c>
      <c r="D11">
        <f>IF('Średnie autobusy'!D16="",0, LEN('Średnie autobusy'!D16) - LEN(SUBSTITUTE('Średnie autobusy'!D16,",",""))+1)</f>
        <v>3</v>
      </c>
      <c r="E11">
        <v>0.9</v>
      </c>
      <c r="F11" s="5">
        <f>AVERAGE(8,3,8)</f>
        <v>6.333333333333333</v>
      </c>
    </row>
    <row r="13" spans="1:7" x14ac:dyDescent="0.25">
      <c r="A13" t="s">
        <v>46</v>
      </c>
      <c r="B13">
        <f>MAX(B2:B11)</f>
        <v>360</v>
      </c>
      <c r="C13">
        <f>MAX(C2:C11)</f>
        <v>47</v>
      </c>
      <c r="D13">
        <f>MAX(D2:D11)</f>
        <v>5</v>
      </c>
      <c r="E13">
        <f>MIN(E2:E11)</f>
        <v>0.6</v>
      </c>
      <c r="F13" s="5">
        <f>MAX(F2:F11)</f>
        <v>8.6666666666666661</v>
      </c>
    </row>
    <row r="14" spans="1:7" x14ac:dyDescent="0.25">
      <c r="A14" t="s">
        <v>47</v>
      </c>
      <c r="B14">
        <v>0.26</v>
      </c>
      <c r="C14">
        <v>0.26</v>
      </c>
      <c r="D14">
        <v>0.11</v>
      </c>
      <c r="E14">
        <v>0.11</v>
      </c>
      <c r="F14">
        <v>0.26</v>
      </c>
      <c r="G14">
        <f>SUM(B14:F14)</f>
        <v>1</v>
      </c>
    </row>
    <row r="16" spans="1:7" x14ac:dyDescent="0.25">
      <c r="A16" s="1" t="s">
        <v>0</v>
      </c>
      <c r="B16" s="1" t="s">
        <v>1</v>
      </c>
      <c r="C16" s="1" t="s">
        <v>2</v>
      </c>
      <c r="D16" s="1" t="s">
        <v>3</v>
      </c>
      <c r="E16" s="1" t="s">
        <v>48</v>
      </c>
      <c r="F16" s="1" t="s">
        <v>5</v>
      </c>
      <c r="G16" s="1" t="s">
        <v>49</v>
      </c>
    </row>
    <row r="17" spans="1:7" x14ac:dyDescent="0.25">
      <c r="A17" t="s">
        <v>27</v>
      </c>
      <c r="B17" s="9">
        <f t="shared" ref="B17:D26" si="0">(B2/B$13)*B$14</f>
        <v>0.24555555555555555</v>
      </c>
      <c r="C17" s="9">
        <f t="shared" si="0"/>
        <v>0.18255319148936172</v>
      </c>
      <c r="D17" s="9">
        <f t="shared" si="0"/>
        <v>6.6000000000000003E-2</v>
      </c>
      <c r="E17" s="9">
        <f t="shared" ref="E17:E26" si="1">($E$13/E2)*$E$14</f>
        <v>2.5384615384615384E-2</v>
      </c>
      <c r="F17" s="9">
        <f t="shared" ref="F17:F26" si="2">(F2/F$13)*F$14</f>
        <v>0.12000000000000001</v>
      </c>
      <c r="G17" s="10">
        <f t="shared" ref="G17:G26" si="3">SUM(B17:F17)</f>
        <v>0.6394933624295327</v>
      </c>
    </row>
    <row r="18" spans="1:7" x14ac:dyDescent="0.25">
      <c r="A18" t="s">
        <v>28</v>
      </c>
      <c r="B18" s="9">
        <f t="shared" si="0"/>
        <v>0.15744444444444444</v>
      </c>
      <c r="C18" s="9">
        <f t="shared" si="0"/>
        <v>0.14936170212765959</v>
      </c>
      <c r="D18" s="9">
        <f t="shared" si="0"/>
        <v>8.8000000000000009E-2</v>
      </c>
      <c r="E18" s="9">
        <f t="shared" si="1"/>
        <v>2.75E-2</v>
      </c>
      <c r="F18" s="9">
        <f t="shared" si="2"/>
        <v>0.24000000000000002</v>
      </c>
      <c r="G18" s="10">
        <f t="shared" si="3"/>
        <v>0.66230614657210407</v>
      </c>
    </row>
    <row r="19" spans="1:7" x14ac:dyDescent="0.25">
      <c r="A19" t="s">
        <v>29</v>
      </c>
      <c r="B19" s="9">
        <f t="shared" si="0"/>
        <v>0.18055555555555555</v>
      </c>
      <c r="C19" s="9">
        <f t="shared" si="0"/>
        <v>0.18255319148936172</v>
      </c>
      <c r="D19" s="9">
        <f t="shared" si="0"/>
        <v>8.8000000000000009E-2</v>
      </c>
      <c r="E19" s="9">
        <f t="shared" si="1"/>
        <v>0.06</v>
      </c>
      <c r="F19" s="9">
        <f t="shared" si="2"/>
        <v>0.2</v>
      </c>
      <c r="G19" s="10">
        <f t="shared" si="3"/>
        <v>0.71110874704491733</v>
      </c>
    </row>
    <row r="20" spans="1:7" x14ac:dyDescent="0.25">
      <c r="A20" t="s">
        <v>30</v>
      </c>
      <c r="B20" s="9">
        <f t="shared" si="0"/>
        <v>0.23544444444444446</v>
      </c>
      <c r="C20" s="9">
        <f t="shared" si="0"/>
        <v>0.19914893617021276</v>
      </c>
      <c r="D20" s="9">
        <f t="shared" si="0"/>
        <v>8.8000000000000009E-2</v>
      </c>
      <c r="E20" s="9">
        <f t="shared" si="1"/>
        <v>2.5384615384615384E-2</v>
      </c>
      <c r="F20" s="9">
        <f t="shared" si="2"/>
        <v>0.15000000000000002</v>
      </c>
      <c r="G20" s="10">
        <f t="shared" si="3"/>
        <v>0.69797799599927257</v>
      </c>
    </row>
    <row r="21" spans="1:7" x14ac:dyDescent="0.25">
      <c r="A21" t="s">
        <v>31</v>
      </c>
      <c r="B21" s="9">
        <f t="shared" si="0"/>
        <v>0.15166666666666667</v>
      </c>
      <c r="C21" s="9">
        <f t="shared" si="0"/>
        <v>8.851063829787234E-2</v>
      </c>
      <c r="D21" s="9">
        <f t="shared" si="0"/>
        <v>8.8000000000000009E-2</v>
      </c>
      <c r="E21" s="9">
        <f t="shared" si="1"/>
        <v>0.11</v>
      </c>
      <c r="F21" s="9">
        <f t="shared" si="2"/>
        <v>0.13</v>
      </c>
      <c r="G21" s="10">
        <f t="shared" si="3"/>
        <v>0.568177304964539</v>
      </c>
    </row>
    <row r="22" spans="1:7" x14ac:dyDescent="0.25">
      <c r="A22" t="s">
        <v>33</v>
      </c>
      <c r="B22" s="9">
        <f t="shared" si="0"/>
        <v>0.24555555555555555</v>
      </c>
      <c r="C22" s="9">
        <f t="shared" si="0"/>
        <v>0.1327659574468085</v>
      </c>
      <c r="D22" s="9">
        <f t="shared" si="0"/>
        <v>8.8000000000000009E-2</v>
      </c>
      <c r="E22" s="9">
        <f t="shared" si="1"/>
        <v>0.03</v>
      </c>
      <c r="F22" s="9">
        <f t="shared" si="2"/>
        <v>0.15000000000000002</v>
      </c>
      <c r="G22" s="10">
        <f t="shared" si="3"/>
        <v>0.64632151300236407</v>
      </c>
    </row>
    <row r="23" spans="1:7" x14ac:dyDescent="0.25">
      <c r="A23" t="s">
        <v>34</v>
      </c>
      <c r="B23" s="9">
        <f t="shared" si="0"/>
        <v>0.1783888888888889</v>
      </c>
      <c r="C23" s="9">
        <f t="shared" si="0"/>
        <v>0.14382978723404255</v>
      </c>
      <c r="D23" s="9">
        <f t="shared" si="0"/>
        <v>6.6000000000000003E-2</v>
      </c>
      <c r="E23" s="9">
        <f t="shared" si="1"/>
        <v>7.3333333333333334E-2</v>
      </c>
      <c r="F23" s="9">
        <f t="shared" si="2"/>
        <v>0.17000000000000004</v>
      </c>
      <c r="G23" s="10">
        <f t="shared" si="3"/>
        <v>0.63155200945626477</v>
      </c>
    </row>
    <row r="24" spans="1:7" x14ac:dyDescent="0.25">
      <c r="A24" t="s">
        <v>35</v>
      </c>
      <c r="B24" s="9">
        <f t="shared" si="0"/>
        <v>0.21594444444444447</v>
      </c>
      <c r="C24" s="9">
        <f t="shared" si="0"/>
        <v>0.17702127659574468</v>
      </c>
      <c r="D24" s="9">
        <f t="shared" si="0"/>
        <v>0.11</v>
      </c>
      <c r="E24" s="9">
        <f t="shared" si="1"/>
        <v>5.0769230769230768E-2</v>
      </c>
      <c r="F24" s="9">
        <f t="shared" si="2"/>
        <v>0.25000000000000006</v>
      </c>
      <c r="G24" s="10">
        <f t="shared" si="3"/>
        <v>0.8037349518094199</v>
      </c>
    </row>
    <row r="25" spans="1:7" x14ac:dyDescent="0.25">
      <c r="A25" t="s">
        <v>38</v>
      </c>
      <c r="B25" s="9">
        <f t="shared" si="0"/>
        <v>0.23833333333333334</v>
      </c>
      <c r="C25" s="9">
        <f t="shared" si="0"/>
        <v>0.16042553191489362</v>
      </c>
      <c r="D25" s="9">
        <f t="shared" si="0"/>
        <v>8.8000000000000009E-2</v>
      </c>
      <c r="E25" s="9">
        <f t="shared" si="1"/>
        <v>0.06</v>
      </c>
      <c r="F25" s="9">
        <f t="shared" si="2"/>
        <v>0.26</v>
      </c>
      <c r="G25" s="10">
        <f t="shared" si="3"/>
        <v>0.80675886524822693</v>
      </c>
    </row>
    <row r="26" spans="1:7" x14ac:dyDescent="0.25">
      <c r="A26" s="11" t="s">
        <v>39</v>
      </c>
      <c r="B26" s="12">
        <f t="shared" si="0"/>
        <v>0.26</v>
      </c>
      <c r="C26" s="12">
        <f t="shared" si="0"/>
        <v>0.26</v>
      </c>
      <c r="D26" s="12">
        <f t="shared" si="0"/>
        <v>6.6000000000000003E-2</v>
      </c>
      <c r="E26" s="12">
        <f t="shared" si="1"/>
        <v>7.3333333333333334E-2</v>
      </c>
      <c r="F26" s="12">
        <f t="shared" si="2"/>
        <v>0.19000000000000003</v>
      </c>
      <c r="G26" s="13">
        <f t="shared" si="3"/>
        <v>0.8493333333333335</v>
      </c>
    </row>
    <row r="29" spans="1:7" x14ac:dyDescent="0.25">
      <c r="A29" s="17" t="s">
        <v>0</v>
      </c>
      <c r="B29" s="18" t="s">
        <v>50</v>
      </c>
      <c r="C29" s="18" t="s">
        <v>51</v>
      </c>
      <c r="D29" s="18" t="s">
        <v>52</v>
      </c>
      <c r="E29" s="18" t="s">
        <v>53</v>
      </c>
      <c r="F29" s="18" t="s">
        <v>54</v>
      </c>
      <c r="G29" s="18" t="s">
        <v>58</v>
      </c>
    </row>
    <row r="30" spans="1:7" x14ac:dyDescent="0.25">
      <c r="A30" s="19" t="s">
        <v>39</v>
      </c>
      <c r="B30" s="20">
        <v>0.26</v>
      </c>
      <c r="C30" s="20">
        <v>0.26</v>
      </c>
      <c r="D30" s="20">
        <v>6.6000000000000003E-2</v>
      </c>
      <c r="E30" s="20">
        <v>7.3333333333333334E-2</v>
      </c>
      <c r="F30" s="20">
        <v>0.19000000000000003</v>
      </c>
      <c r="G30" s="21">
        <v>0.8493333333333335</v>
      </c>
    </row>
    <row r="31" spans="1:7" x14ac:dyDescent="0.25">
      <c r="A31" s="19" t="s">
        <v>38</v>
      </c>
      <c r="B31" s="20">
        <v>0.23833333333333334</v>
      </c>
      <c r="C31" s="20">
        <v>0.16042553191489362</v>
      </c>
      <c r="D31" s="20">
        <v>8.8000000000000009E-2</v>
      </c>
      <c r="E31" s="20">
        <v>0.06</v>
      </c>
      <c r="F31" s="20">
        <v>0.26</v>
      </c>
      <c r="G31" s="21">
        <v>0.80675886524822693</v>
      </c>
    </row>
    <row r="32" spans="1:7" x14ac:dyDescent="0.25">
      <c r="A32" s="19" t="s">
        <v>35</v>
      </c>
      <c r="B32" s="20">
        <v>0.21594444444444447</v>
      </c>
      <c r="C32" s="20">
        <v>0.17702127659574468</v>
      </c>
      <c r="D32" s="20">
        <v>0.11</v>
      </c>
      <c r="E32" s="20">
        <v>5.0769230769230768E-2</v>
      </c>
      <c r="F32" s="20">
        <v>0.25000000000000006</v>
      </c>
      <c r="G32" s="21">
        <v>0.8037349518094199</v>
      </c>
    </row>
    <row r="33" spans="1:7" x14ac:dyDescent="0.25">
      <c r="A33" s="19" t="s">
        <v>29</v>
      </c>
      <c r="B33" s="20">
        <v>0.18055555555555555</v>
      </c>
      <c r="C33" s="20">
        <v>0.18255319148936172</v>
      </c>
      <c r="D33" s="20">
        <v>8.8000000000000009E-2</v>
      </c>
      <c r="E33" s="20">
        <v>0.06</v>
      </c>
      <c r="F33" s="20">
        <v>0.2</v>
      </c>
      <c r="G33" s="21">
        <v>0.71110874704491733</v>
      </c>
    </row>
    <row r="34" spans="1:7" x14ac:dyDescent="0.25">
      <c r="A34" s="19" t="s">
        <v>30</v>
      </c>
      <c r="B34" s="20">
        <v>0.23544444444444446</v>
      </c>
      <c r="C34" s="20">
        <v>0.19914893617021276</v>
      </c>
      <c r="D34" s="20">
        <v>8.8000000000000009E-2</v>
      </c>
      <c r="E34" s="20">
        <v>2.5384615384615384E-2</v>
      </c>
      <c r="F34" s="20">
        <v>0.15000000000000002</v>
      </c>
      <c r="G34" s="21">
        <v>0.69797799599927257</v>
      </c>
    </row>
    <row r="35" spans="1:7" x14ac:dyDescent="0.25">
      <c r="A35" s="19" t="s">
        <v>28</v>
      </c>
      <c r="B35" s="20">
        <v>0.15744444444444444</v>
      </c>
      <c r="C35" s="20">
        <v>0.14936170212765959</v>
      </c>
      <c r="D35" s="20">
        <v>8.8000000000000009E-2</v>
      </c>
      <c r="E35" s="20">
        <v>2.75E-2</v>
      </c>
      <c r="F35" s="20">
        <v>0.24000000000000002</v>
      </c>
      <c r="G35" s="21">
        <v>0.66230614657210407</v>
      </c>
    </row>
    <row r="36" spans="1:7" x14ac:dyDescent="0.25">
      <c r="A36" s="19" t="s">
        <v>33</v>
      </c>
      <c r="B36" s="20">
        <v>0.24555555555555555</v>
      </c>
      <c r="C36" s="20">
        <v>0.1327659574468085</v>
      </c>
      <c r="D36" s="20">
        <v>8.8000000000000009E-2</v>
      </c>
      <c r="E36" s="20">
        <v>0.03</v>
      </c>
      <c r="F36" s="20">
        <v>0.15000000000000002</v>
      </c>
      <c r="G36" s="21">
        <v>0.64632151300236407</v>
      </c>
    </row>
    <row r="37" spans="1:7" x14ac:dyDescent="0.25">
      <c r="A37" s="19" t="s">
        <v>27</v>
      </c>
      <c r="B37" s="20">
        <v>0.24555555555555555</v>
      </c>
      <c r="C37" s="20">
        <v>0.18255319148936172</v>
      </c>
      <c r="D37" s="20">
        <v>6.6000000000000003E-2</v>
      </c>
      <c r="E37" s="20">
        <v>2.5384615384615384E-2</v>
      </c>
      <c r="F37" s="20">
        <v>0.12000000000000001</v>
      </c>
      <c r="G37" s="21">
        <v>0.6394933624295327</v>
      </c>
    </row>
    <row r="38" spans="1:7" x14ac:dyDescent="0.25">
      <c r="A38" s="19" t="s">
        <v>34</v>
      </c>
      <c r="B38" s="20">
        <v>0.1783888888888889</v>
      </c>
      <c r="C38" s="20">
        <v>0.14382978723404255</v>
      </c>
      <c r="D38" s="20">
        <v>6.6000000000000003E-2</v>
      </c>
      <c r="E38" s="20">
        <v>7.3333333333333334E-2</v>
      </c>
      <c r="F38" s="20">
        <v>0.17000000000000004</v>
      </c>
      <c r="G38" s="21">
        <v>0.63155200945626477</v>
      </c>
    </row>
    <row r="39" spans="1:7" x14ac:dyDescent="0.25">
      <c r="A39" s="19" t="s">
        <v>31</v>
      </c>
      <c r="B39" s="20">
        <v>0.15166666666666667</v>
      </c>
      <c r="C39" s="20">
        <v>8.851063829787234E-2</v>
      </c>
      <c r="D39" s="20">
        <v>8.8000000000000009E-2</v>
      </c>
      <c r="E39" s="20">
        <v>0.11</v>
      </c>
      <c r="F39" s="20">
        <v>0.13</v>
      </c>
      <c r="G39" s="21">
        <v>0.568177304964539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99"/>
  <sheetViews>
    <sheetView zoomScaleNormal="100" workbookViewId="0">
      <selection activeCell="A2" sqref="A2"/>
    </sheetView>
  </sheetViews>
  <sheetFormatPr defaultColWidth="10.140625" defaultRowHeight="15" x14ac:dyDescent="0.25"/>
  <cols>
    <col min="1" max="1" width="22.28515625" customWidth="1"/>
    <col min="2" max="2" width="21.28515625" customWidth="1"/>
    <col min="3" max="3" width="26.5703125" customWidth="1"/>
    <col min="4" max="4" width="40.5703125" customWidth="1"/>
    <col min="5" max="5" width="25" customWidth="1"/>
    <col min="6" max="6" width="12.28515625" customWidth="1"/>
  </cols>
  <sheetData>
    <row r="2" spans="1:7" x14ac:dyDescent="0.25">
      <c r="A2" s="22" t="s">
        <v>55</v>
      </c>
    </row>
    <row r="4" spans="1:7" x14ac:dyDescent="0.25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2"/>
    </row>
    <row r="5" spans="1:7" x14ac:dyDescent="0.25">
      <c r="A5" t="s">
        <v>7</v>
      </c>
      <c r="B5">
        <v>408</v>
      </c>
      <c r="C5">
        <v>65</v>
      </c>
      <c r="D5">
        <f>IF('Duże autobusy'!$D$3="",0, LEN('Duże autobusy'!$D$3) - LEN(SUBSTITUTE('Duże autobusy'!$D$3,",",""))+1)</f>
        <v>2</v>
      </c>
      <c r="E5">
        <v>2.2000000000000002</v>
      </c>
      <c r="F5" s="5">
        <f>AVERAGE(10,6,5)</f>
        <v>7</v>
      </c>
    </row>
    <row r="6" spans="1:7" x14ac:dyDescent="0.25">
      <c r="A6" t="s">
        <v>9</v>
      </c>
      <c r="B6">
        <v>320</v>
      </c>
      <c r="C6">
        <v>55</v>
      </c>
      <c r="D6">
        <f>IF('Duże autobusy'!$D$4="",0, LEN('Duże autobusy'!$D$4) - LEN(SUBSTITUTE('Duże autobusy'!$D$4,",",""))+1)</f>
        <v>3</v>
      </c>
      <c r="E6">
        <v>2.4</v>
      </c>
      <c r="F6" s="5">
        <v>10</v>
      </c>
    </row>
    <row r="7" spans="1:7" x14ac:dyDescent="0.25">
      <c r="A7" t="s">
        <v>11</v>
      </c>
      <c r="B7">
        <v>310</v>
      </c>
      <c r="C7">
        <v>54</v>
      </c>
      <c r="D7">
        <f>IF('Duże autobusy'!$D$5="",0, LEN('Duże autobusy'!$D$5) - LEN(SUBSTITUTE('Duże autobusy'!$D$5,",",""))+1)</f>
        <v>3</v>
      </c>
      <c r="E7">
        <v>1.8</v>
      </c>
      <c r="F7" s="5">
        <f>AVERAGE(5,4,10)</f>
        <v>6.333333333333333</v>
      </c>
    </row>
    <row r="8" spans="1:7" x14ac:dyDescent="0.25">
      <c r="A8" t="s">
        <v>12</v>
      </c>
      <c r="B8">
        <v>256</v>
      </c>
      <c r="C8">
        <v>16</v>
      </c>
      <c r="D8">
        <f>IF('Duże autobusy'!$D$6="",0, LEN('Duże autobusy'!$D$6) - LEN(SUBSTITUTE('Duże autobusy'!$D$6,",",""))+1)</f>
        <v>3</v>
      </c>
      <c r="E8">
        <v>1</v>
      </c>
      <c r="F8" s="5">
        <f>AVERAGE(8,8,10)</f>
        <v>8.6666666666666661</v>
      </c>
    </row>
    <row r="9" spans="1:7" x14ac:dyDescent="0.25">
      <c r="A9" t="s">
        <v>13</v>
      </c>
      <c r="B9">
        <v>320</v>
      </c>
      <c r="C9">
        <v>40</v>
      </c>
      <c r="D9">
        <f>IF('Duże autobusy'!$D$7="",0, LEN('Duże autobusy'!$D$7) - LEN(SUBSTITUTE('Duże autobusy'!$D$7,",",""))+1)</f>
        <v>3</v>
      </c>
      <c r="E9">
        <v>1.1000000000000001</v>
      </c>
      <c r="F9" s="5">
        <f>AVERAGE(3,1,10)</f>
        <v>4.666666666666667</v>
      </c>
    </row>
    <row r="10" spans="1:7" x14ac:dyDescent="0.25">
      <c r="A10" t="s">
        <v>15</v>
      </c>
      <c r="B10">
        <v>326</v>
      </c>
      <c r="C10">
        <v>44</v>
      </c>
      <c r="D10">
        <f>IF('Duże autobusy'!$D$9="",0, LEN('Duże autobusy'!$D$9) - LEN(SUBSTITUTE('Duże autobusy'!$D$9,",",""))+1)</f>
        <v>4</v>
      </c>
      <c r="E10">
        <v>2.6</v>
      </c>
      <c r="F10" s="5">
        <f>AVERAGE(7,4,8)</f>
        <v>6.333333333333333</v>
      </c>
    </row>
    <row r="11" spans="1:7" x14ac:dyDescent="0.25">
      <c r="A11" t="s">
        <v>17</v>
      </c>
      <c r="B11">
        <v>265</v>
      </c>
      <c r="C11">
        <v>63</v>
      </c>
      <c r="D11">
        <f>IF('Duże autobusy'!$D$10="",0, LEN('Duże autobusy'!$D$10) - LEN(SUBSTITUTE('Duże autobusy'!$D$10,",",""))+1)</f>
        <v>3</v>
      </c>
      <c r="E11">
        <v>1.8</v>
      </c>
      <c r="F11" s="5">
        <f>AVERAGE(9,4,6)</f>
        <v>6.333333333333333</v>
      </c>
    </row>
    <row r="12" spans="1:7" x14ac:dyDescent="0.25">
      <c r="A12" t="s">
        <v>18</v>
      </c>
      <c r="B12">
        <v>280</v>
      </c>
      <c r="C12">
        <v>37</v>
      </c>
      <c r="D12">
        <f>IF('Duże autobusy'!$D$11="",0, LEN('Duże autobusy'!$D$11) - LEN(SUBSTITUTE('Duże autobusy'!$D$11,",",""))+1)</f>
        <v>4</v>
      </c>
      <c r="E12">
        <v>2</v>
      </c>
      <c r="F12" s="5">
        <f>AVERAGE(4,4,1)</f>
        <v>3</v>
      </c>
    </row>
    <row r="13" spans="1:7" x14ac:dyDescent="0.25">
      <c r="A13" t="s">
        <v>20</v>
      </c>
      <c r="B13">
        <v>344</v>
      </c>
      <c r="C13">
        <v>40</v>
      </c>
      <c r="D13">
        <f>IF('Duże autobusy'!$D$13="",0, LEN('Duże autobusy'!$D$13) - LEN(SUBSTITUTE('Duże autobusy'!$D$13,",",""))+1)</f>
        <v>3</v>
      </c>
      <c r="E13">
        <v>3.25</v>
      </c>
      <c r="F13" s="5">
        <f>AVERAGE(10,10,4)</f>
        <v>8</v>
      </c>
    </row>
    <row r="14" spans="1:7" x14ac:dyDescent="0.25">
      <c r="A14" t="s">
        <v>22</v>
      </c>
      <c r="B14">
        <v>277</v>
      </c>
      <c r="C14">
        <v>40</v>
      </c>
      <c r="D14">
        <f>IF('Duże autobusy'!$D$14="",0, LEN('Duże autobusy'!$D$14) - LEN(SUBSTITUTE('Duże autobusy'!$D$14,",",""))+1)</f>
        <v>3</v>
      </c>
      <c r="E14">
        <v>1</v>
      </c>
      <c r="F14" s="5">
        <f>AVERAGE(5,4,3)</f>
        <v>4</v>
      </c>
    </row>
    <row r="15" spans="1:7" x14ac:dyDescent="0.25">
      <c r="A15" t="s">
        <v>24</v>
      </c>
      <c r="B15">
        <v>360</v>
      </c>
      <c r="C15">
        <v>44</v>
      </c>
      <c r="D15">
        <f>IF('Duże autobusy'!$D$16="",0, LEN('Duże autobusy'!$D$16) - LEN(SUBSTITUTE('Duże autobusy'!$D$16,",",""))+1)</f>
        <v>4</v>
      </c>
      <c r="E15">
        <v>2</v>
      </c>
      <c r="F15" s="5">
        <f>AVERAGE(8,9,9)</f>
        <v>8.6666666666666661</v>
      </c>
    </row>
    <row r="16" spans="1:7" x14ac:dyDescent="0.25">
      <c r="A16" t="s">
        <v>26</v>
      </c>
      <c r="B16">
        <v>340</v>
      </c>
      <c r="C16">
        <v>37</v>
      </c>
      <c r="D16">
        <f>IF('Duże autobusy'!$D$18="",0, LEN('Duże autobusy'!$D$18) - LEN(SUBSTITUTE('Duże autobusy'!$D$18,",",""))+1)</f>
        <v>3</v>
      </c>
      <c r="E16">
        <v>2.9</v>
      </c>
      <c r="F16" s="5">
        <f>AVERAGE(10,9,10)</f>
        <v>9.6666666666666661</v>
      </c>
    </row>
    <row r="18" spans="1:7" x14ac:dyDescent="0.25">
      <c r="A18" t="s">
        <v>46</v>
      </c>
      <c r="B18">
        <f>MAX(B5:B16)</f>
        <v>408</v>
      </c>
      <c r="C18">
        <f>MAX(C5:C16)</f>
        <v>65</v>
      </c>
      <c r="D18">
        <f>MAX(D5:D16)</f>
        <v>4</v>
      </c>
      <c r="E18">
        <f>MIN(E5:E16)</f>
        <v>1</v>
      </c>
      <c r="F18">
        <f>MAX(F5:F16)</f>
        <v>10</v>
      </c>
    </row>
    <row r="19" spans="1:7" x14ac:dyDescent="0.25">
      <c r="A19" t="s">
        <v>47</v>
      </c>
      <c r="B19">
        <v>0.14000000000000001</v>
      </c>
      <c r="C19">
        <v>0.14000000000000001</v>
      </c>
      <c r="D19">
        <v>0.08</v>
      </c>
      <c r="E19">
        <v>0.5</v>
      </c>
      <c r="F19">
        <v>0.14000000000000001</v>
      </c>
      <c r="G19">
        <f>SUM(B19:F19)</f>
        <v>1</v>
      </c>
    </row>
    <row r="21" spans="1:7" x14ac:dyDescent="0.25">
      <c r="A21" s="1" t="s">
        <v>0</v>
      </c>
      <c r="B21" s="1" t="s">
        <v>1</v>
      </c>
      <c r="C21" s="1" t="s">
        <v>2</v>
      </c>
      <c r="D21" s="1" t="s">
        <v>3</v>
      </c>
      <c r="E21" s="1" t="s">
        <v>48</v>
      </c>
      <c r="F21" s="1" t="s">
        <v>5</v>
      </c>
      <c r="G21" s="1" t="s">
        <v>49</v>
      </c>
    </row>
    <row r="22" spans="1:7" x14ac:dyDescent="0.25">
      <c r="A22" t="s">
        <v>7</v>
      </c>
      <c r="B22" s="9">
        <f t="shared" ref="B22:D33" si="0">(B5/B$18)*B$19</f>
        <v>0.14000000000000001</v>
      </c>
      <c r="C22" s="9">
        <f t="shared" si="0"/>
        <v>0.14000000000000001</v>
      </c>
      <c r="D22" s="9">
        <f t="shared" si="0"/>
        <v>0.04</v>
      </c>
      <c r="E22" s="9">
        <f t="shared" ref="E22:E33" si="1">($E$18/E5)*$E$19</f>
        <v>0.22727272727272727</v>
      </c>
      <c r="F22" s="9">
        <f t="shared" ref="F22:F33" si="2">(F5/F$18)*F$19</f>
        <v>9.8000000000000004E-2</v>
      </c>
      <c r="G22" s="10">
        <f t="shared" ref="G22:G33" si="3">SUM(B22:F22)</f>
        <v>0.64527272727272722</v>
      </c>
    </row>
    <row r="23" spans="1:7" x14ac:dyDescent="0.25">
      <c r="A23" t="s">
        <v>9</v>
      </c>
      <c r="B23" s="9">
        <f t="shared" si="0"/>
        <v>0.10980392156862746</v>
      </c>
      <c r="C23" s="9">
        <f t="shared" si="0"/>
        <v>0.11846153846153847</v>
      </c>
      <c r="D23" s="9">
        <f t="shared" si="0"/>
        <v>0.06</v>
      </c>
      <c r="E23" s="9">
        <f t="shared" si="1"/>
        <v>0.20833333333333334</v>
      </c>
      <c r="F23" s="9">
        <f t="shared" si="2"/>
        <v>0.14000000000000001</v>
      </c>
      <c r="G23" s="10">
        <f t="shared" si="3"/>
        <v>0.63659879336349934</v>
      </c>
    </row>
    <row r="24" spans="1:7" x14ac:dyDescent="0.25">
      <c r="A24" t="s">
        <v>11</v>
      </c>
      <c r="B24" s="9">
        <f t="shared" si="0"/>
        <v>0.10637254901960785</v>
      </c>
      <c r="C24" s="9">
        <f t="shared" si="0"/>
        <v>0.11630769230769232</v>
      </c>
      <c r="D24" s="9">
        <f t="shared" si="0"/>
        <v>0.06</v>
      </c>
      <c r="E24" s="9">
        <f t="shared" si="1"/>
        <v>0.27777777777777779</v>
      </c>
      <c r="F24" s="9">
        <f t="shared" si="2"/>
        <v>8.8666666666666671E-2</v>
      </c>
      <c r="G24" s="10">
        <f t="shared" si="3"/>
        <v>0.64912468577174465</v>
      </c>
    </row>
    <row r="25" spans="1:7" x14ac:dyDescent="0.25">
      <c r="A25" s="14" t="s">
        <v>12</v>
      </c>
      <c r="B25" s="15">
        <f t="shared" si="0"/>
        <v>8.7843137254901962E-2</v>
      </c>
      <c r="C25" s="15">
        <f t="shared" si="0"/>
        <v>3.4461538461538467E-2</v>
      </c>
      <c r="D25" s="15">
        <f t="shared" si="0"/>
        <v>0.06</v>
      </c>
      <c r="E25" s="15">
        <f t="shared" si="1"/>
        <v>0.5</v>
      </c>
      <c r="F25" s="15">
        <f t="shared" si="2"/>
        <v>0.12133333333333333</v>
      </c>
      <c r="G25" s="16">
        <f t="shared" si="3"/>
        <v>0.80363800904977367</v>
      </c>
    </row>
    <row r="26" spans="1:7" x14ac:dyDescent="0.25">
      <c r="A26" t="s">
        <v>13</v>
      </c>
      <c r="B26" s="9">
        <f t="shared" si="0"/>
        <v>0.10980392156862746</v>
      </c>
      <c r="C26" s="9">
        <f t="shared" si="0"/>
        <v>8.6153846153846164E-2</v>
      </c>
      <c r="D26" s="9">
        <f t="shared" si="0"/>
        <v>0.06</v>
      </c>
      <c r="E26" s="9">
        <f t="shared" si="1"/>
        <v>0.45454545454545453</v>
      </c>
      <c r="F26" s="9">
        <f t="shared" si="2"/>
        <v>6.533333333333334E-2</v>
      </c>
      <c r="G26" s="10">
        <f t="shared" si="3"/>
        <v>0.77583655560126152</v>
      </c>
    </row>
    <row r="27" spans="1:7" x14ac:dyDescent="0.25">
      <c r="A27" t="s">
        <v>15</v>
      </c>
      <c r="B27" s="9">
        <f t="shared" si="0"/>
        <v>0.11186274509803923</v>
      </c>
      <c r="C27" s="9">
        <f t="shared" si="0"/>
        <v>9.4769230769230786E-2</v>
      </c>
      <c r="D27" s="9">
        <f t="shared" si="0"/>
        <v>0.08</v>
      </c>
      <c r="E27" s="9">
        <f t="shared" si="1"/>
        <v>0.19230769230769229</v>
      </c>
      <c r="F27" s="9">
        <f t="shared" si="2"/>
        <v>8.8666666666666671E-2</v>
      </c>
      <c r="G27" s="10">
        <f t="shared" si="3"/>
        <v>0.56760633484162892</v>
      </c>
    </row>
    <row r="28" spans="1:7" x14ac:dyDescent="0.25">
      <c r="A28" t="s">
        <v>17</v>
      </c>
      <c r="B28" s="9">
        <f t="shared" si="0"/>
        <v>9.0931372549019618E-2</v>
      </c>
      <c r="C28" s="9">
        <f t="shared" si="0"/>
        <v>0.1356923076923077</v>
      </c>
      <c r="D28" s="9">
        <f t="shared" si="0"/>
        <v>0.06</v>
      </c>
      <c r="E28" s="9">
        <f t="shared" si="1"/>
        <v>0.27777777777777779</v>
      </c>
      <c r="F28" s="9">
        <f t="shared" si="2"/>
        <v>8.8666666666666671E-2</v>
      </c>
      <c r="G28" s="10">
        <f t="shared" si="3"/>
        <v>0.6530681246857718</v>
      </c>
    </row>
    <row r="29" spans="1:7" x14ac:dyDescent="0.25">
      <c r="A29" t="s">
        <v>18</v>
      </c>
      <c r="B29" s="9">
        <f t="shared" si="0"/>
        <v>9.6078431372549025E-2</v>
      </c>
      <c r="C29" s="9">
        <f t="shared" si="0"/>
        <v>7.9692307692307701E-2</v>
      </c>
      <c r="D29" s="9">
        <f t="shared" si="0"/>
        <v>0.08</v>
      </c>
      <c r="E29" s="9">
        <f t="shared" si="1"/>
        <v>0.25</v>
      </c>
      <c r="F29" s="9">
        <f t="shared" si="2"/>
        <v>4.2000000000000003E-2</v>
      </c>
      <c r="G29" s="10">
        <f t="shared" si="3"/>
        <v>0.54777073906485674</v>
      </c>
    </row>
    <row r="30" spans="1:7" x14ac:dyDescent="0.25">
      <c r="A30" t="s">
        <v>20</v>
      </c>
      <c r="B30" s="9">
        <f t="shared" si="0"/>
        <v>0.11803921568627453</v>
      </c>
      <c r="C30" s="9">
        <f t="shared" si="0"/>
        <v>8.6153846153846164E-2</v>
      </c>
      <c r="D30" s="9">
        <f t="shared" si="0"/>
        <v>0.06</v>
      </c>
      <c r="E30" s="9">
        <f t="shared" si="1"/>
        <v>0.15384615384615385</v>
      </c>
      <c r="F30" s="9">
        <f t="shared" si="2"/>
        <v>0.11200000000000002</v>
      </c>
      <c r="G30" s="10">
        <f t="shared" si="3"/>
        <v>0.53003921568627455</v>
      </c>
    </row>
    <row r="31" spans="1:7" x14ac:dyDescent="0.25">
      <c r="A31" t="s">
        <v>22</v>
      </c>
      <c r="B31" s="9">
        <f t="shared" si="0"/>
        <v>9.5049019607843149E-2</v>
      </c>
      <c r="C31" s="9">
        <f t="shared" si="0"/>
        <v>8.6153846153846164E-2</v>
      </c>
      <c r="D31" s="9">
        <f t="shared" si="0"/>
        <v>0.06</v>
      </c>
      <c r="E31" s="9">
        <f t="shared" si="1"/>
        <v>0.5</v>
      </c>
      <c r="F31" s="9">
        <f t="shared" si="2"/>
        <v>5.6000000000000008E-2</v>
      </c>
      <c r="G31" s="10">
        <f t="shared" si="3"/>
        <v>0.79720286576168942</v>
      </c>
    </row>
    <row r="32" spans="1:7" x14ac:dyDescent="0.25">
      <c r="A32" t="s">
        <v>24</v>
      </c>
      <c r="B32" s="9">
        <f t="shared" si="0"/>
        <v>0.12352941176470589</v>
      </c>
      <c r="C32" s="9">
        <f t="shared" si="0"/>
        <v>9.4769230769230786E-2</v>
      </c>
      <c r="D32" s="9">
        <f t="shared" si="0"/>
        <v>0.08</v>
      </c>
      <c r="E32" s="9">
        <f t="shared" si="1"/>
        <v>0.25</v>
      </c>
      <c r="F32" s="9">
        <f t="shared" si="2"/>
        <v>0.12133333333333333</v>
      </c>
      <c r="G32" s="10">
        <f t="shared" si="3"/>
        <v>0.66963197586726997</v>
      </c>
    </row>
    <row r="33" spans="1:7" x14ac:dyDescent="0.25">
      <c r="A33" t="s">
        <v>26</v>
      </c>
      <c r="B33" s="9">
        <f t="shared" si="0"/>
        <v>0.11666666666666668</v>
      </c>
      <c r="C33" s="9">
        <f t="shared" si="0"/>
        <v>7.9692307692307701E-2</v>
      </c>
      <c r="D33" s="9">
        <f t="shared" si="0"/>
        <v>0.06</v>
      </c>
      <c r="E33" s="9">
        <f t="shared" si="1"/>
        <v>0.17241379310344829</v>
      </c>
      <c r="F33" s="9">
        <f t="shared" si="2"/>
        <v>0.13533333333333333</v>
      </c>
      <c r="G33" s="10">
        <f t="shared" si="3"/>
        <v>0.56410610079575596</v>
      </c>
    </row>
    <row r="35" spans="1:7" x14ac:dyDescent="0.25">
      <c r="A35" s="22" t="s">
        <v>56</v>
      </c>
    </row>
    <row r="37" spans="1:7" x14ac:dyDescent="0.25">
      <c r="A37" s="1" t="s">
        <v>0</v>
      </c>
      <c r="B37" s="1" t="s">
        <v>41</v>
      </c>
      <c r="C37" s="1" t="s">
        <v>42</v>
      </c>
      <c r="D37" s="1" t="s">
        <v>43</v>
      </c>
      <c r="E37" s="1" t="s">
        <v>44</v>
      </c>
      <c r="F37" s="1" t="s">
        <v>45</v>
      </c>
      <c r="G37" s="2"/>
    </row>
    <row r="38" spans="1:7" x14ac:dyDescent="0.25">
      <c r="A38" t="s">
        <v>7</v>
      </c>
      <c r="B38">
        <v>408</v>
      </c>
      <c r="C38">
        <v>65</v>
      </c>
      <c r="D38">
        <f>IF('Duże autobusy'!$D$3="",0, LEN('Duże autobusy'!$D$3) - LEN(SUBSTITUTE('Duże autobusy'!$D$3,",",""))+1)</f>
        <v>2</v>
      </c>
      <c r="E38">
        <v>2.2000000000000002</v>
      </c>
      <c r="F38" s="5">
        <f>AVERAGE(10,6,5)</f>
        <v>7</v>
      </c>
    </row>
    <row r="39" spans="1:7" x14ac:dyDescent="0.25">
      <c r="A39" t="s">
        <v>9</v>
      </c>
      <c r="B39">
        <v>320</v>
      </c>
      <c r="C39">
        <v>55</v>
      </c>
      <c r="D39">
        <f>IF('Duże autobusy'!$D$4="",0, LEN('Duże autobusy'!$D$4) - LEN(SUBSTITUTE('Duże autobusy'!$D$4,",",""))+1)</f>
        <v>3</v>
      </c>
      <c r="E39">
        <v>2.4</v>
      </c>
      <c r="F39" s="5">
        <v>10</v>
      </c>
    </row>
    <row r="40" spans="1:7" x14ac:dyDescent="0.25">
      <c r="A40" t="s">
        <v>11</v>
      </c>
      <c r="B40">
        <v>310</v>
      </c>
      <c r="C40">
        <v>54</v>
      </c>
      <c r="D40">
        <f>IF('Duże autobusy'!$D$5="",0, LEN('Duże autobusy'!$D$5) - LEN(SUBSTITUTE('Duże autobusy'!$D$5,",",""))+1)</f>
        <v>3</v>
      </c>
      <c r="E40">
        <v>1.8</v>
      </c>
      <c r="F40" s="5">
        <f>AVERAGE(5,4,10)</f>
        <v>6.333333333333333</v>
      </c>
    </row>
    <row r="41" spans="1:7" x14ac:dyDescent="0.25">
      <c r="A41" t="s">
        <v>12</v>
      </c>
      <c r="B41">
        <v>256</v>
      </c>
      <c r="C41">
        <v>16</v>
      </c>
      <c r="D41">
        <f>IF('Duże autobusy'!$D$6="",0, LEN('Duże autobusy'!$D$6) - LEN(SUBSTITUTE('Duże autobusy'!$D$6,",",""))+1)</f>
        <v>3</v>
      </c>
      <c r="E41">
        <v>1</v>
      </c>
      <c r="F41" s="5">
        <f>AVERAGE(8,8,10)</f>
        <v>8.6666666666666661</v>
      </c>
    </row>
    <row r="42" spans="1:7" x14ac:dyDescent="0.25">
      <c r="A42" t="s">
        <v>13</v>
      </c>
      <c r="B42">
        <v>320</v>
      </c>
      <c r="C42">
        <v>40</v>
      </c>
      <c r="D42">
        <f>IF('Duże autobusy'!$D$7="",0, LEN('Duże autobusy'!$D$7) - LEN(SUBSTITUTE('Duże autobusy'!$D$7,",",""))+1)</f>
        <v>3</v>
      </c>
      <c r="E42">
        <v>1.1000000000000001</v>
      </c>
      <c r="F42" s="5">
        <f>AVERAGE(3,1,10)</f>
        <v>4.666666666666667</v>
      </c>
    </row>
    <row r="43" spans="1:7" x14ac:dyDescent="0.25">
      <c r="A43" t="s">
        <v>15</v>
      </c>
      <c r="B43">
        <v>326</v>
      </c>
      <c r="C43">
        <v>44</v>
      </c>
      <c r="D43">
        <f>IF('Duże autobusy'!$D$9="",0, LEN('Duże autobusy'!$D$9) - LEN(SUBSTITUTE('Duże autobusy'!$D$9,",",""))+1)</f>
        <v>4</v>
      </c>
      <c r="E43">
        <v>2.6</v>
      </c>
      <c r="F43" s="5">
        <f>AVERAGE(7,4,8)</f>
        <v>6.333333333333333</v>
      </c>
    </row>
    <row r="44" spans="1:7" x14ac:dyDescent="0.25">
      <c r="A44" t="s">
        <v>17</v>
      </c>
      <c r="B44">
        <v>265</v>
      </c>
      <c r="C44">
        <v>63</v>
      </c>
      <c r="D44">
        <f>IF('Duże autobusy'!$D$10="",0, LEN('Duże autobusy'!$D$10) - LEN(SUBSTITUTE('Duże autobusy'!$D$10,",",""))+1)</f>
        <v>3</v>
      </c>
      <c r="E44">
        <v>1.8</v>
      </c>
      <c r="F44" s="5">
        <f>AVERAGE(9,4,6)</f>
        <v>6.333333333333333</v>
      </c>
    </row>
    <row r="45" spans="1:7" x14ac:dyDescent="0.25">
      <c r="A45" t="s">
        <v>18</v>
      </c>
      <c r="B45">
        <v>280</v>
      </c>
      <c r="C45">
        <v>37</v>
      </c>
      <c r="D45">
        <f>IF('Duże autobusy'!$D$11="",0, LEN('Duże autobusy'!$D$11) - LEN(SUBSTITUTE('Duże autobusy'!$D$11,",",""))+1)</f>
        <v>4</v>
      </c>
      <c r="E45">
        <v>2</v>
      </c>
      <c r="F45" s="5">
        <f>AVERAGE(4,4,1)</f>
        <v>3</v>
      </c>
    </row>
    <row r="46" spans="1:7" x14ac:dyDescent="0.25">
      <c r="A46" t="s">
        <v>20</v>
      </c>
      <c r="B46">
        <v>344</v>
      </c>
      <c r="C46">
        <v>40</v>
      </c>
      <c r="D46">
        <f>IF('Duże autobusy'!$D$13="",0, LEN('Duże autobusy'!$D$13) - LEN(SUBSTITUTE('Duże autobusy'!$D$13,",",""))+1)</f>
        <v>3</v>
      </c>
      <c r="E46">
        <v>3.25</v>
      </c>
      <c r="F46" s="5">
        <f>AVERAGE(10,10,4)</f>
        <v>8</v>
      </c>
    </row>
    <row r="47" spans="1:7" x14ac:dyDescent="0.25">
      <c r="A47" t="s">
        <v>22</v>
      </c>
      <c r="B47">
        <v>277</v>
      </c>
      <c r="C47">
        <v>40</v>
      </c>
      <c r="D47">
        <f>IF('Duże autobusy'!$D$14="",0, LEN('Duże autobusy'!$D$14) - LEN(SUBSTITUTE('Duże autobusy'!$D$14,",",""))+1)</f>
        <v>3</v>
      </c>
      <c r="E47">
        <v>1</v>
      </c>
      <c r="F47" s="5">
        <f>AVERAGE(5,4,3)</f>
        <v>4</v>
      </c>
    </row>
    <row r="48" spans="1:7" x14ac:dyDescent="0.25">
      <c r="A48" t="s">
        <v>24</v>
      </c>
      <c r="B48">
        <v>360</v>
      </c>
      <c r="C48">
        <v>44</v>
      </c>
      <c r="D48">
        <f>IF('Duże autobusy'!$D$16="",0, LEN('Duże autobusy'!$D$16) - LEN(SUBSTITUTE('Duże autobusy'!$D$16,",",""))+1)</f>
        <v>4</v>
      </c>
      <c r="E48">
        <v>2</v>
      </c>
      <c r="F48" s="5">
        <f>AVERAGE(8,9,9)</f>
        <v>8.6666666666666661</v>
      </c>
    </row>
    <row r="49" spans="1:7" x14ac:dyDescent="0.25">
      <c r="A49" t="s">
        <v>26</v>
      </c>
      <c r="B49">
        <v>340</v>
      </c>
      <c r="C49">
        <v>37</v>
      </c>
      <c r="D49">
        <f>IF('Duże autobusy'!$D$18="",0, LEN('Duże autobusy'!$D$18) - LEN(SUBSTITUTE('Duże autobusy'!$D$18,",",""))+1)</f>
        <v>3</v>
      </c>
      <c r="E49">
        <v>2.9</v>
      </c>
      <c r="F49" s="5">
        <f>AVERAGE(10,9,10)</f>
        <v>9.6666666666666661</v>
      </c>
    </row>
    <row r="51" spans="1:7" x14ac:dyDescent="0.25">
      <c r="A51" t="s">
        <v>46</v>
      </c>
      <c r="B51">
        <f>MAX(B38:B49)</f>
        <v>408</v>
      </c>
      <c r="C51">
        <f>MAX(C38:C49)</f>
        <v>65</v>
      </c>
      <c r="D51">
        <f>MAX(D38:D49)</f>
        <v>4</v>
      </c>
      <c r="E51">
        <f>MIN(E38:E49)</f>
        <v>1</v>
      </c>
      <c r="F51">
        <f>MAX(F38:F49)</f>
        <v>10</v>
      </c>
    </row>
    <row r="52" spans="1:7" x14ac:dyDescent="0.25">
      <c r="A52" t="s">
        <v>47</v>
      </c>
      <c r="B52">
        <v>0.35</v>
      </c>
      <c r="C52">
        <v>0.35</v>
      </c>
      <c r="D52">
        <v>0.15</v>
      </c>
      <c r="E52">
        <v>0.05</v>
      </c>
      <c r="F52">
        <v>0.1</v>
      </c>
      <c r="G52">
        <f>SUM(B52:F52)</f>
        <v>1</v>
      </c>
    </row>
    <row r="54" spans="1:7" x14ac:dyDescent="0.25">
      <c r="A54" s="1" t="s">
        <v>0</v>
      </c>
      <c r="B54" s="1" t="s">
        <v>1</v>
      </c>
      <c r="C54" s="1" t="s">
        <v>2</v>
      </c>
      <c r="D54" s="1" t="s">
        <v>3</v>
      </c>
      <c r="E54" s="1" t="s">
        <v>48</v>
      </c>
      <c r="F54" s="1" t="s">
        <v>5</v>
      </c>
      <c r="G54" s="1" t="s">
        <v>49</v>
      </c>
    </row>
    <row r="55" spans="1:7" x14ac:dyDescent="0.25">
      <c r="A55" s="14" t="s">
        <v>7</v>
      </c>
      <c r="B55" s="15">
        <f t="shared" ref="B55:D66" si="4">(B38/B$51)*B$52</f>
        <v>0.35</v>
      </c>
      <c r="C55" s="15">
        <f t="shared" si="4"/>
        <v>0.35</v>
      </c>
      <c r="D55" s="15">
        <f t="shared" si="4"/>
        <v>7.4999999999999997E-2</v>
      </c>
      <c r="E55" s="15">
        <f t="shared" ref="E55:E66" si="5">($E$51/E38)*$E$52</f>
        <v>2.2727272727272728E-2</v>
      </c>
      <c r="F55" s="15">
        <f t="shared" ref="F55:F66" si="6">(F38/F$51)*F$52</f>
        <v>6.9999999999999993E-2</v>
      </c>
      <c r="G55" s="16">
        <f t="shared" ref="G55:G66" si="7">SUM(B55:F55)</f>
        <v>0.86772727272727257</v>
      </c>
    </row>
    <row r="56" spans="1:7" x14ac:dyDescent="0.25">
      <c r="A56" t="s">
        <v>9</v>
      </c>
      <c r="B56" s="9">
        <f t="shared" si="4"/>
        <v>0.2745098039215686</v>
      </c>
      <c r="C56" s="9">
        <f t="shared" si="4"/>
        <v>0.29615384615384616</v>
      </c>
      <c r="D56" s="9">
        <f t="shared" si="4"/>
        <v>0.11249999999999999</v>
      </c>
      <c r="E56" s="9">
        <f t="shared" si="5"/>
        <v>2.0833333333333336E-2</v>
      </c>
      <c r="F56" s="9">
        <f t="shared" si="6"/>
        <v>0.1</v>
      </c>
      <c r="G56" s="10">
        <f t="shared" si="7"/>
        <v>0.80399698340874814</v>
      </c>
    </row>
    <row r="57" spans="1:7" x14ac:dyDescent="0.25">
      <c r="A57" t="s">
        <v>11</v>
      </c>
      <c r="B57" s="9">
        <f t="shared" si="4"/>
        <v>0.26593137254901955</v>
      </c>
      <c r="C57" s="9">
        <f t="shared" si="4"/>
        <v>0.29076923076923078</v>
      </c>
      <c r="D57" s="9">
        <f t="shared" si="4"/>
        <v>0.11249999999999999</v>
      </c>
      <c r="E57" s="9">
        <f t="shared" si="5"/>
        <v>2.777777777777778E-2</v>
      </c>
      <c r="F57" s="9">
        <f t="shared" si="6"/>
        <v>6.3333333333333339E-2</v>
      </c>
      <c r="G57" s="10">
        <f t="shared" si="7"/>
        <v>0.76031171442936141</v>
      </c>
    </row>
    <row r="58" spans="1:7" x14ac:dyDescent="0.25">
      <c r="A58" t="s">
        <v>12</v>
      </c>
      <c r="B58" s="9">
        <f t="shared" si="4"/>
        <v>0.21960784313725487</v>
      </c>
      <c r="C58" s="9">
        <f t="shared" si="4"/>
        <v>8.615384615384615E-2</v>
      </c>
      <c r="D58" s="9">
        <f t="shared" si="4"/>
        <v>0.11249999999999999</v>
      </c>
      <c r="E58" s="9">
        <f t="shared" si="5"/>
        <v>0.05</v>
      </c>
      <c r="F58" s="9">
        <f t="shared" si="6"/>
        <v>8.666666666666667E-2</v>
      </c>
      <c r="G58" s="10">
        <f t="shared" si="7"/>
        <v>0.55492835595776768</v>
      </c>
    </row>
    <row r="59" spans="1:7" x14ac:dyDescent="0.25">
      <c r="A59" t="s">
        <v>13</v>
      </c>
      <c r="B59" s="9">
        <f t="shared" si="4"/>
        <v>0.2745098039215686</v>
      </c>
      <c r="C59" s="9">
        <f t="shared" si="4"/>
        <v>0.2153846153846154</v>
      </c>
      <c r="D59" s="9">
        <f t="shared" si="4"/>
        <v>0.11249999999999999</v>
      </c>
      <c r="E59" s="9">
        <f t="shared" si="5"/>
        <v>4.5454545454545456E-2</v>
      </c>
      <c r="F59" s="9">
        <f t="shared" si="6"/>
        <v>4.6666666666666669E-2</v>
      </c>
      <c r="G59" s="10">
        <f t="shared" si="7"/>
        <v>0.69451563142739603</v>
      </c>
    </row>
    <row r="60" spans="1:7" x14ac:dyDescent="0.25">
      <c r="A60" t="s">
        <v>15</v>
      </c>
      <c r="B60" s="9">
        <f t="shared" si="4"/>
        <v>0.27965686274509804</v>
      </c>
      <c r="C60" s="9">
        <f t="shared" si="4"/>
        <v>0.23692307692307693</v>
      </c>
      <c r="D60" s="9">
        <f t="shared" si="4"/>
        <v>0.15</v>
      </c>
      <c r="E60" s="9">
        <f t="shared" si="5"/>
        <v>1.9230769230769232E-2</v>
      </c>
      <c r="F60" s="9">
        <f t="shared" si="6"/>
        <v>6.3333333333333339E-2</v>
      </c>
      <c r="G60" s="10">
        <f t="shared" si="7"/>
        <v>0.7491440422322776</v>
      </c>
    </row>
    <row r="61" spans="1:7" x14ac:dyDescent="0.25">
      <c r="A61" t="s">
        <v>17</v>
      </c>
      <c r="B61" s="9">
        <f t="shared" si="4"/>
        <v>0.22732843137254902</v>
      </c>
      <c r="C61" s="9">
        <f t="shared" si="4"/>
        <v>0.33923076923076922</v>
      </c>
      <c r="D61" s="9">
        <f t="shared" si="4"/>
        <v>0.11249999999999999</v>
      </c>
      <c r="E61" s="9">
        <f t="shared" si="5"/>
        <v>2.777777777777778E-2</v>
      </c>
      <c r="F61" s="9">
        <f t="shared" si="6"/>
        <v>6.3333333333333339E-2</v>
      </c>
      <c r="G61" s="10">
        <f t="shared" si="7"/>
        <v>0.7701703117144294</v>
      </c>
    </row>
    <row r="62" spans="1:7" x14ac:dyDescent="0.25">
      <c r="A62" t="s">
        <v>18</v>
      </c>
      <c r="B62" s="9">
        <f t="shared" si="4"/>
        <v>0.24019607843137253</v>
      </c>
      <c r="C62" s="9">
        <f t="shared" si="4"/>
        <v>0.19923076923076921</v>
      </c>
      <c r="D62" s="9">
        <f t="shared" si="4"/>
        <v>0.15</v>
      </c>
      <c r="E62" s="9">
        <f t="shared" si="5"/>
        <v>2.5000000000000001E-2</v>
      </c>
      <c r="F62" s="9">
        <f t="shared" si="6"/>
        <v>0.03</v>
      </c>
      <c r="G62" s="10">
        <f t="shared" si="7"/>
        <v>0.64442684766214176</v>
      </c>
    </row>
    <row r="63" spans="1:7" x14ac:dyDescent="0.25">
      <c r="A63" t="s">
        <v>20</v>
      </c>
      <c r="B63" s="9">
        <f t="shared" si="4"/>
        <v>0.29509803921568628</v>
      </c>
      <c r="C63" s="9">
        <f t="shared" si="4"/>
        <v>0.2153846153846154</v>
      </c>
      <c r="D63" s="9">
        <f t="shared" si="4"/>
        <v>0.11249999999999999</v>
      </c>
      <c r="E63" s="9">
        <f t="shared" si="5"/>
        <v>1.5384615384615385E-2</v>
      </c>
      <c r="F63" s="9">
        <f t="shared" si="6"/>
        <v>8.0000000000000016E-2</v>
      </c>
      <c r="G63" s="10">
        <f t="shared" si="7"/>
        <v>0.71836726998491707</v>
      </c>
    </row>
    <row r="64" spans="1:7" x14ac:dyDescent="0.25">
      <c r="A64" t="s">
        <v>22</v>
      </c>
      <c r="B64" s="9">
        <f t="shared" si="4"/>
        <v>0.23762254901960783</v>
      </c>
      <c r="C64" s="9">
        <f t="shared" si="4"/>
        <v>0.2153846153846154</v>
      </c>
      <c r="D64" s="9">
        <f t="shared" si="4"/>
        <v>0.11249999999999999</v>
      </c>
      <c r="E64" s="9">
        <f t="shared" si="5"/>
        <v>0.05</v>
      </c>
      <c r="F64" s="9">
        <f t="shared" si="6"/>
        <v>4.0000000000000008E-2</v>
      </c>
      <c r="G64" s="10">
        <f t="shared" si="7"/>
        <v>0.6555071644042233</v>
      </c>
    </row>
    <row r="65" spans="1:7" x14ac:dyDescent="0.25">
      <c r="A65" t="s">
        <v>24</v>
      </c>
      <c r="B65" s="9">
        <f t="shared" si="4"/>
        <v>0.30882352941176466</v>
      </c>
      <c r="C65" s="9">
        <f t="shared" si="4"/>
        <v>0.23692307692307693</v>
      </c>
      <c r="D65" s="9">
        <f t="shared" si="4"/>
        <v>0.15</v>
      </c>
      <c r="E65" s="9">
        <f t="shared" si="5"/>
        <v>2.5000000000000001E-2</v>
      </c>
      <c r="F65" s="9">
        <f t="shared" si="6"/>
        <v>8.666666666666667E-2</v>
      </c>
      <c r="G65" s="10">
        <f t="shared" si="7"/>
        <v>0.80741327300150834</v>
      </c>
    </row>
    <row r="66" spans="1:7" x14ac:dyDescent="0.25">
      <c r="A66" t="s">
        <v>26</v>
      </c>
      <c r="B66" s="9">
        <f t="shared" si="4"/>
        <v>0.29166666666666669</v>
      </c>
      <c r="C66" s="9">
        <f t="shared" si="4"/>
        <v>0.19923076923076921</v>
      </c>
      <c r="D66" s="9">
        <f t="shared" si="4"/>
        <v>0.11249999999999999</v>
      </c>
      <c r="E66" s="9">
        <f t="shared" si="5"/>
        <v>1.7241379310344831E-2</v>
      </c>
      <c r="F66" s="9">
        <f t="shared" si="6"/>
        <v>9.6666666666666665E-2</v>
      </c>
      <c r="G66" s="10">
        <f t="shared" si="7"/>
        <v>0.71730548187444743</v>
      </c>
    </row>
    <row r="68" spans="1:7" x14ac:dyDescent="0.25">
      <c r="A68" s="22" t="s">
        <v>57</v>
      </c>
    </row>
    <row r="70" spans="1:7" x14ac:dyDescent="0.25">
      <c r="A70" s="1" t="s">
        <v>0</v>
      </c>
      <c r="B70" s="1" t="s">
        <v>41</v>
      </c>
      <c r="C70" s="1" t="s">
        <v>42</v>
      </c>
      <c r="D70" s="1" t="s">
        <v>43</v>
      </c>
      <c r="E70" s="1" t="s">
        <v>44</v>
      </c>
      <c r="F70" s="1" t="s">
        <v>45</v>
      </c>
      <c r="G70" s="2"/>
    </row>
    <row r="71" spans="1:7" x14ac:dyDescent="0.25">
      <c r="A71" t="s">
        <v>7</v>
      </c>
      <c r="B71">
        <v>408</v>
      </c>
      <c r="C71">
        <v>65</v>
      </c>
      <c r="D71">
        <f>IF('Duże autobusy'!$D$3="",0, LEN('Duże autobusy'!$D$3) - LEN(SUBSTITUTE('Duże autobusy'!$D$3,",",""))+1)</f>
        <v>2</v>
      </c>
      <c r="E71">
        <v>2.2000000000000002</v>
      </c>
      <c r="F71" s="5">
        <f>AVERAGE(10,6,5)</f>
        <v>7</v>
      </c>
    </row>
    <row r="72" spans="1:7" x14ac:dyDescent="0.25">
      <c r="A72" t="s">
        <v>9</v>
      </c>
      <c r="B72">
        <v>320</v>
      </c>
      <c r="C72">
        <v>55</v>
      </c>
      <c r="D72">
        <f>IF('Duże autobusy'!$D$4="",0, LEN('Duże autobusy'!$D$4) - LEN(SUBSTITUTE('Duże autobusy'!$D$4,",",""))+1)</f>
        <v>3</v>
      </c>
      <c r="E72">
        <v>2.4</v>
      </c>
      <c r="F72" s="5">
        <v>10</v>
      </c>
    </row>
    <row r="73" spans="1:7" x14ac:dyDescent="0.25">
      <c r="A73" t="s">
        <v>11</v>
      </c>
      <c r="B73">
        <v>310</v>
      </c>
      <c r="C73">
        <v>54</v>
      </c>
      <c r="D73">
        <f>IF('Duże autobusy'!$D$5="",0, LEN('Duże autobusy'!$D$5) - LEN(SUBSTITUTE('Duże autobusy'!$D$5,",",""))+1)</f>
        <v>3</v>
      </c>
      <c r="E73">
        <v>1.8</v>
      </c>
      <c r="F73" s="5">
        <f>AVERAGE(5,4,10)</f>
        <v>6.333333333333333</v>
      </c>
    </row>
    <row r="74" spans="1:7" x14ac:dyDescent="0.25">
      <c r="A74" t="s">
        <v>12</v>
      </c>
      <c r="B74">
        <v>256</v>
      </c>
      <c r="C74">
        <v>16</v>
      </c>
      <c r="D74">
        <f>IF('Duże autobusy'!$D$6="",0, LEN('Duże autobusy'!$D$6) - LEN(SUBSTITUTE('Duże autobusy'!$D$6,",",""))+1)</f>
        <v>3</v>
      </c>
      <c r="E74">
        <v>1</v>
      </c>
      <c r="F74" s="5">
        <f>AVERAGE(8,8,10)</f>
        <v>8.6666666666666661</v>
      </c>
    </row>
    <row r="75" spans="1:7" x14ac:dyDescent="0.25">
      <c r="A75" t="s">
        <v>13</v>
      </c>
      <c r="B75">
        <v>320</v>
      </c>
      <c r="C75">
        <v>40</v>
      </c>
      <c r="D75">
        <f>IF('Duże autobusy'!$D$7="",0, LEN('Duże autobusy'!$D$7) - LEN(SUBSTITUTE('Duże autobusy'!$D$7,",",""))+1)</f>
        <v>3</v>
      </c>
      <c r="E75">
        <v>1.1000000000000001</v>
      </c>
      <c r="F75" s="5">
        <f>AVERAGE(3,1,10)</f>
        <v>4.666666666666667</v>
      </c>
    </row>
    <row r="76" spans="1:7" x14ac:dyDescent="0.25">
      <c r="A76" t="s">
        <v>15</v>
      </c>
      <c r="B76">
        <v>326</v>
      </c>
      <c r="C76">
        <v>44</v>
      </c>
      <c r="D76">
        <f>IF('Duże autobusy'!$D$9="",0, LEN('Duże autobusy'!$D$9) - LEN(SUBSTITUTE('Duże autobusy'!$D$9,",",""))+1)</f>
        <v>4</v>
      </c>
      <c r="E76">
        <v>2.6</v>
      </c>
      <c r="F76" s="5">
        <f>AVERAGE(7,4,8)</f>
        <v>6.333333333333333</v>
      </c>
    </row>
    <row r="77" spans="1:7" x14ac:dyDescent="0.25">
      <c r="A77" t="s">
        <v>17</v>
      </c>
      <c r="B77">
        <v>265</v>
      </c>
      <c r="C77">
        <v>63</v>
      </c>
      <c r="D77">
        <f>IF('Duże autobusy'!$D$10="",0, LEN('Duże autobusy'!$D$10) - LEN(SUBSTITUTE('Duże autobusy'!$D$10,",",""))+1)</f>
        <v>3</v>
      </c>
      <c r="E77">
        <v>1.8</v>
      </c>
      <c r="F77" s="5">
        <f>AVERAGE(9,4,6)</f>
        <v>6.333333333333333</v>
      </c>
    </row>
    <row r="78" spans="1:7" x14ac:dyDescent="0.25">
      <c r="A78" t="s">
        <v>18</v>
      </c>
      <c r="B78">
        <v>280</v>
      </c>
      <c r="C78">
        <v>37</v>
      </c>
      <c r="D78">
        <f>IF('Duże autobusy'!$D$11="",0, LEN('Duże autobusy'!$D$11) - LEN(SUBSTITUTE('Duże autobusy'!$D$11,",",""))+1)</f>
        <v>4</v>
      </c>
      <c r="E78">
        <v>2</v>
      </c>
      <c r="F78" s="5">
        <f>AVERAGE(4,4,1)</f>
        <v>3</v>
      </c>
    </row>
    <row r="79" spans="1:7" x14ac:dyDescent="0.25">
      <c r="A79" t="s">
        <v>20</v>
      </c>
      <c r="B79">
        <v>344</v>
      </c>
      <c r="C79">
        <v>40</v>
      </c>
      <c r="D79">
        <f>IF('Duże autobusy'!$D$13="",0, LEN('Duże autobusy'!$D$13) - LEN(SUBSTITUTE('Duże autobusy'!$D$13,",",""))+1)</f>
        <v>3</v>
      </c>
      <c r="E79">
        <v>3.25</v>
      </c>
      <c r="F79" s="5">
        <f>AVERAGE(10,10,4)</f>
        <v>8</v>
      </c>
    </row>
    <row r="80" spans="1:7" x14ac:dyDescent="0.25">
      <c r="A80" t="s">
        <v>22</v>
      </c>
      <c r="B80">
        <v>277</v>
      </c>
      <c r="C80">
        <v>40</v>
      </c>
      <c r="D80">
        <f>IF('Duże autobusy'!$D$14="",0, LEN('Duże autobusy'!$D$14) - LEN(SUBSTITUTE('Duże autobusy'!$D$14,",",""))+1)</f>
        <v>3</v>
      </c>
      <c r="E80">
        <v>1</v>
      </c>
      <c r="F80" s="5">
        <f>AVERAGE(5,4,3)</f>
        <v>4</v>
      </c>
    </row>
    <row r="81" spans="1:7" x14ac:dyDescent="0.25">
      <c r="A81" t="s">
        <v>24</v>
      </c>
      <c r="B81">
        <v>360</v>
      </c>
      <c r="C81">
        <v>44</v>
      </c>
      <c r="D81">
        <f>IF('Duże autobusy'!$D$16="",0, LEN('Duże autobusy'!$D$16) - LEN(SUBSTITUTE('Duże autobusy'!$D$16,",",""))+1)</f>
        <v>4</v>
      </c>
      <c r="E81">
        <v>2</v>
      </c>
      <c r="F81" s="5">
        <f>AVERAGE(8,9,9)</f>
        <v>8.6666666666666661</v>
      </c>
    </row>
    <row r="82" spans="1:7" x14ac:dyDescent="0.25">
      <c r="A82" t="s">
        <v>26</v>
      </c>
      <c r="B82">
        <v>340</v>
      </c>
      <c r="C82">
        <v>37</v>
      </c>
      <c r="D82">
        <f>IF('Duże autobusy'!$D$18="",0, LEN('Duże autobusy'!$D$18) - LEN(SUBSTITUTE('Duże autobusy'!$D$18,",",""))+1)</f>
        <v>3</v>
      </c>
      <c r="E82">
        <v>2.9</v>
      </c>
      <c r="F82" s="5">
        <f>AVERAGE(10,9,10)</f>
        <v>9.6666666666666661</v>
      </c>
    </row>
    <row r="84" spans="1:7" x14ac:dyDescent="0.25">
      <c r="A84" t="s">
        <v>46</v>
      </c>
      <c r="B84">
        <f>MAX(B71:B82)</f>
        <v>408</v>
      </c>
      <c r="C84">
        <f>MAX(C71:C82)</f>
        <v>65</v>
      </c>
      <c r="D84">
        <f>MAX(D71:D82)</f>
        <v>4</v>
      </c>
      <c r="E84">
        <f>MIN(E71:E82)</f>
        <v>1</v>
      </c>
      <c r="F84">
        <f>MAX(F71:F82)</f>
        <v>10</v>
      </c>
    </row>
    <row r="85" spans="1:7" x14ac:dyDescent="0.25">
      <c r="A85" t="s">
        <v>47</v>
      </c>
      <c r="B85">
        <v>0.2</v>
      </c>
      <c r="C85">
        <v>0.2</v>
      </c>
      <c r="D85">
        <v>0.2</v>
      </c>
      <c r="E85">
        <v>0.2</v>
      </c>
      <c r="F85">
        <v>0.2</v>
      </c>
      <c r="G85">
        <f>SUM(B85:F85)</f>
        <v>1</v>
      </c>
    </row>
    <row r="87" spans="1:7" x14ac:dyDescent="0.25">
      <c r="A87" s="1" t="s">
        <v>0</v>
      </c>
      <c r="B87" s="1" t="s">
        <v>1</v>
      </c>
      <c r="C87" s="1" t="s">
        <v>2</v>
      </c>
      <c r="D87" s="1" t="s">
        <v>3</v>
      </c>
      <c r="E87" s="1" t="s">
        <v>48</v>
      </c>
      <c r="F87" s="1" t="s">
        <v>5</v>
      </c>
      <c r="G87" s="1" t="s">
        <v>49</v>
      </c>
    </row>
    <row r="88" spans="1:7" x14ac:dyDescent="0.25">
      <c r="A88" t="s">
        <v>7</v>
      </c>
      <c r="B88" s="9">
        <f t="shared" ref="B88:D99" si="8">(B71/B$84)*B$85</f>
        <v>0.2</v>
      </c>
      <c r="C88" s="9">
        <f t="shared" si="8"/>
        <v>0.2</v>
      </c>
      <c r="D88" s="9">
        <f t="shared" si="8"/>
        <v>0.1</v>
      </c>
      <c r="E88" s="9">
        <f t="shared" ref="E88:E99" si="9">($E$84/E71)*$E$85</f>
        <v>9.0909090909090912E-2</v>
      </c>
      <c r="F88" s="9">
        <f t="shared" ref="F88:F99" si="10">(F71/F$84)*F$85</f>
        <v>0.13999999999999999</v>
      </c>
      <c r="G88" s="10">
        <f t="shared" ref="G88:G99" si="11">SUM(B88:F88)</f>
        <v>0.73090909090909095</v>
      </c>
    </row>
    <row r="89" spans="1:7" x14ac:dyDescent="0.25">
      <c r="A89" t="s">
        <v>9</v>
      </c>
      <c r="B89" s="9">
        <f t="shared" si="8"/>
        <v>0.15686274509803921</v>
      </c>
      <c r="C89" s="9">
        <f t="shared" si="8"/>
        <v>0.16923076923076924</v>
      </c>
      <c r="D89" s="9">
        <f t="shared" si="8"/>
        <v>0.15000000000000002</v>
      </c>
      <c r="E89" s="9">
        <f t="shared" si="9"/>
        <v>8.3333333333333343E-2</v>
      </c>
      <c r="F89" s="9">
        <f t="shared" si="10"/>
        <v>0.2</v>
      </c>
      <c r="G89" s="10">
        <f t="shared" si="11"/>
        <v>0.75942684766214175</v>
      </c>
    </row>
    <row r="90" spans="1:7" x14ac:dyDescent="0.25">
      <c r="A90" t="s">
        <v>11</v>
      </c>
      <c r="B90" s="9">
        <f t="shared" si="8"/>
        <v>0.15196078431372551</v>
      </c>
      <c r="C90" s="9">
        <f t="shared" si="8"/>
        <v>0.16615384615384618</v>
      </c>
      <c r="D90" s="9">
        <f t="shared" si="8"/>
        <v>0.15000000000000002</v>
      </c>
      <c r="E90" s="9">
        <f t="shared" si="9"/>
        <v>0.11111111111111112</v>
      </c>
      <c r="F90" s="9">
        <f t="shared" si="10"/>
        <v>0.12666666666666668</v>
      </c>
      <c r="G90" s="10">
        <f t="shared" si="11"/>
        <v>0.7058924082453496</v>
      </c>
    </row>
    <row r="91" spans="1:7" x14ac:dyDescent="0.25">
      <c r="A91" t="s">
        <v>12</v>
      </c>
      <c r="B91" s="9">
        <f t="shared" si="8"/>
        <v>0.12549019607843137</v>
      </c>
      <c r="C91" s="9">
        <f t="shared" si="8"/>
        <v>4.9230769230769238E-2</v>
      </c>
      <c r="D91" s="9">
        <f t="shared" si="8"/>
        <v>0.15000000000000002</v>
      </c>
      <c r="E91" s="9">
        <f t="shared" si="9"/>
        <v>0.2</v>
      </c>
      <c r="F91" s="9">
        <f t="shared" si="10"/>
        <v>0.17333333333333334</v>
      </c>
      <c r="G91" s="10">
        <f t="shared" si="11"/>
        <v>0.69805429864253399</v>
      </c>
    </row>
    <row r="92" spans="1:7" x14ac:dyDescent="0.25">
      <c r="A92" t="s">
        <v>13</v>
      </c>
      <c r="B92" s="9">
        <f t="shared" si="8"/>
        <v>0.15686274509803921</v>
      </c>
      <c r="C92" s="9">
        <f t="shared" si="8"/>
        <v>0.12307692307692308</v>
      </c>
      <c r="D92" s="9">
        <f t="shared" si="8"/>
        <v>0.15000000000000002</v>
      </c>
      <c r="E92" s="9">
        <f t="shared" si="9"/>
        <v>0.18181818181818182</v>
      </c>
      <c r="F92" s="9">
        <f t="shared" si="10"/>
        <v>9.3333333333333338E-2</v>
      </c>
      <c r="G92" s="10">
        <f t="shared" si="11"/>
        <v>0.70509118332647758</v>
      </c>
    </row>
    <row r="93" spans="1:7" x14ac:dyDescent="0.25">
      <c r="A93" t="s">
        <v>15</v>
      </c>
      <c r="B93" s="9">
        <f t="shared" si="8"/>
        <v>0.15980392156862747</v>
      </c>
      <c r="C93" s="9">
        <f t="shared" si="8"/>
        <v>0.13538461538461541</v>
      </c>
      <c r="D93" s="9">
        <f t="shared" si="8"/>
        <v>0.2</v>
      </c>
      <c r="E93" s="9">
        <f t="shared" si="9"/>
        <v>7.6923076923076927E-2</v>
      </c>
      <c r="F93" s="9">
        <f t="shared" si="10"/>
        <v>0.12666666666666668</v>
      </c>
      <c r="G93" s="10">
        <f t="shared" si="11"/>
        <v>0.69877828054298652</v>
      </c>
    </row>
    <row r="94" spans="1:7" x14ac:dyDescent="0.25">
      <c r="A94" t="s">
        <v>17</v>
      </c>
      <c r="B94" s="9">
        <f t="shared" si="8"/>
        <v>0.12990196078431374</v>
      </c>
      <c r="C94" s="9">
        <f t="shared" si="8"/>
        <v>0.19384615384615386</v>
      </c>
      <c r="D94" s="9">
        <f t="shared" si="8"/>
        <v>0.15000000000000002</v>
      </c>
      <c r="E94" s="9">
        <f t="shared" si="9"/>
        <v>0.11111111111111112</v>
      </c>
      <c r="F94" s="9">
        <f t="shared" si="10"/>
        <v>0.12666666666666668</v>
      </c>
      <c r="G94" s="10">
        <f t="shared" si="11"/>
        <v>0.71152589240824549</v>
      </c>
    </row>
    <row r="95" spans="1:7" x14ac:dyDescent="0.25">
      <c r="A95" t="s">
        <v>18</v>
      </c>
      <c r="B95" s="9">
        <f t="shared" si="8"/>
        <v>0.13725490196078433</v>
      </c>
      <c r="C95" s="9">
        <f t="shared" si="8"/>
        <v>0.11384615384615385</v>
      </c>
      <c r="D95" s="9">
        <f t="shared" si="8"/>
        <v>0.2</v>
      </c>
      <c r="E95" s="9">
        <f t="shared" si="9"/>
        <v>0.1</v>
      </c>
      <c r="F95" s="9">
        <f t="shared" si="10"/>
        <v>0.06</v>
      </c>
      <c r="G95" s="10">
        <f t="shared" si="11"/>
        <v>0.6111010558069383</v>
      </c>
    </row>
    <row r="96" spans="1:7" x14ac:dyDescent="0.25">
      <c r="A96" t="s">
        <v>20</v>
      </c>
      <c r="B96" s="9">
        <f t="shared" si="8"/>
        <v>0.16862745098039217</v>
      </c>
      <c r="C96" s="9">
        <f t="shared" si="8"/>
        <v>0.12307692307692308</v>
      </c>
      <c r="D96" s="9">
        <f t="shared" si="8"/>
        <v>0.15000000000000002</v>
      </c>
      <c r="E96" s="9">
        <f t="shared" si="9"/>
        <v>6.1538461538461542E-2</v>
      </c>
      <c r="F96" s="9">
        <f t="shared" si="10"/>
        <v>0.16000000000000003</v>
      </c>
      <c r="G96" s="10">
        <f t="shared" si="11"/>
        <v>0.66324283559577679</v>
      </c>
    </row>
    <row r="97" spans="1:7" x14ac:dyDescent="0.25">
      <c r="A97" t="s">
        <v>22</v>
      </c>
      <c r="B97" s="9">
        <f t="shared" si="8"/>
        <v>0.13578431372549021</v>
      </c>
      <c r="C97" s="9">
        <f t="shared" si="8"/>
        <v>0.12307692307692308</v>
      </c>
      <c r="D97" s="9">
        <f t="shared" si="8"/>
        <v>0.15000000000000002</v>
      </c>
      <c r="E97" s="9">
        <f t="shared" si="9"/>
        <v>0.2</v>
      </c>
      <c r="F97" s="9">
        <f t="shared" si="10"/>
        <v>8.0000000000000016E-2</v>
      </c>
      <c r="G97" s="10">
        <f t="shared" si="11"/>
        <v>0.6888612368024134</v>
      </c>
    </row>
    <row r="98" spans="1:7" x14ac:dyDescent="0.25">
      <c r="A98" s="14" t="s">
        <v>24</v>
      </c>
      <c r="B98" s="15">
        <f t="shared" si="8"/>
        <v>0.17647058823529413</v>
      </c>
      <c r="C98" s="15">
        <f t="shared" si="8"/>
        <v>0.13538461538461541</v>
      </c>
      <c r="D98" s="15">
        <f t="shared" si="8"/>
        <v>0.2</v>
      </c>
      <c r="E98" s="15">
        <f t="shared" si="9"/>
        <v>0.1</v>
      </c>
      <c r="F98" s="15">
        <f t="shared" si="10"/>
        <v>0.17333333333333334</v>
      </c>
      <c r="G98" s="16">
        <f t="shared" si="11"/>
        <v>0.78518853695324287</v>
      </c>
    </row>
    <row r="99" spans="1:7" x14ac:dyDescent="0.25">
      <c r="A99" t="s">
        <v>26</v>
      </c>
      <c r="B99" s="9">
        <f t="shared" si="8"/>
        <v>0.16666666666666669</v>
      </c>
      <c r="C99" s="9">
        <f t="shared" si="8"/>
        <v>0.11384615384615385</v>
      </c>
      <c r="D99" s="9">
        <f t="shared" si="8"/>
        <v>0.15000000000000002</v>
      </c>
      <c r="E99" s="9">
        <f t="shared" si="9"/>
        <v>6.8965517241379323E-2</v>
      </c>
      <c r="F99" s="9">
        <f t="shared" si="10"/>
        <v>0.19333333333333333</v>
      </c>
      <c r="G99" s="10">
        <f t="shared" si="11"/>
        <v>0.69281167108753328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Roman,Regularna"&amp;12&amp;Kffffff&amp;A</oddHeader>
    <oddFooter>&amp;C&amp;"Times New Roman,Regularna"&amp;12&amp;KffffffStrona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G96"/>
  <sheetViews>
    <sheetView topLeftCell="A64" zoomScaleNormal="100" workbookViewId="0">
      <selection activeCell="A66" sqref="A66"/>
    </sheetView>
  </sheetViews>
  <sheetFormatPr defaultColWidth="10.140625" defaultRowHeight="15" x14ac:dyDescent="0.25"/>
  <cols>
    <col min="1" max="1" width="21.5703125" customWidth="1"/>
    <col min="2" max="2" width="21.28515625" customWidth="1"/>
    <col min="3" max="3" width="26.5703125" customWidth="1"/>
    <col min="4" max="4" width="40.5703125" customWidth="1"/>
    <col min="5" max="5" width="25" customWidth="1"/>
  </cols>
  <sheetData>
    <row r="2" spans="1:6" x14ac:dyDescent="0.25">
      <c r="A2" s="22" t="s">
        <v>55</v>
      </c>
    </row>
    <row r="4" spans="1:6" x14ac:dyDescent="0.25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</row>
    <row r="5" spans="1:6" x14ac:dyDescent="0.25">
      <c r="A5" t="s">
        <v>27</v>
      </c>
      <c r="B5">
        <v>340</v>
      </c>
      <c r="C5">
        <v>33</v>
      </c>
      <c r="D5">
        <f>IF('Średnie autobusy'!$D$3="",0, LEN('Średnie autobusy'!$D$3) - LEN(SUBSTITUTE('Średnie autobusy'!$D$3,",",""))+1)</f>
        <v>3</v>
      </c>
      <c r="E5">
        <v>2.6</v>
      </c>
      <c r="F5" s="5">
        <f>AVERAGE(6,4,2)</f>
        <v>4</v>
      </c>
    </row>
    <row r="6" spans="1:6" x14ac:dyDescent="0.25">
      <c r="A6" t="s">
        <v>28</v>
      </c>
      <c r="B6">
        <v>218</v>
      </c>
      <c r="C6">
        <v>27</v>
      </c>
      <c r="D6">
        <f>IF('Średnie autobusy'!$D$4="",0, LEN('Średnie autobusy'!$D$4) - LEN(SUBSTITUTE('Średnie autobusy'!$D$4,",",""))+1)</f>
        <v>4</v>
      </c>
      <c r="E6">
        <v>2.4</v>
      </c>
      <c r="F6" s="5">
        <f>AVERAGE(6,8,10)</f>
        <v>8</v>
      </c>
    </row>
    <row r="7" spans="1:6" x14ac:dyDescent="0.25">
      <c r="A7" t="s">
        <v>29</v>
      </c>
      <c r="B7">
        <v>250</v>
      </c>
      <c r="C7">
        <v>33</v>
      </c>
      <c r="D7">
        <f>IF('Średnie autobusy'!$D$5="",0, LEN('Średnie autobusy'!$D$5) - LEN(SUBSTITUTE('Średnie autobusy'!$D$5,",",""))+1)</f>
        <v>4</v>
      </c>
      <c r="E7">
        <v>1.1000000000000001</v>
      </c>
      <c r="F7" s="5">
        <f>AVERAGE(10,5,5)</f>
        <v>6.666666666666667</v>
      </c>
    </row>
    <row r="8" spans="1:6" x14ac:dyDescent="0.25">
      <c r="A8" t="s">
        <v>30</v>
      </c>
      <c r="B8">
        <v>326</v>
      </c>
      <c r="C8">
        <v>36</v>
      </c>
      <c r="D8">
        <f>IF('Średnie autobusy'!$D$7="",0, LEN('Średnie autobusy'!$D$7) - LEN(SUBSTITUTE('Średnie autobusy'!$D$7,",",""))+1)</f>
        <v>4</v>
      </c>
      <c r="E8">
        <v>2.6</v>
      </c>
      <c r="F8" s="5">
        <f>AVERAGE(5,5,5)</f>
        <v>5</v>
      </c>
    </row>
    <row r="9" spans="1:6" x14ac:dyDescent="0.25">
      <c r="A9" t="s">
        <v>31</v>
      </c>
      <c r="B9">
        <v>210</v>
      </c>
      <c r="C9">
        <v>16</v>
      </c>
      <c r="D9">
        <f>IF('Średnie autobusy'!$D$9="",0, LEN('Średnie autobusy'!$D$9) - LEN(SUBSTITUTE('Średnie autobusy'!$D$9,",",""))+1)</f>
        <v>4</v>
      </c>
      <c r="E9">
        <v>0.6</v>
      </c>
      <c r="F9" s="5">
        <f>AVERAGE(3,6,4)</f>
        <v>4.333333333333333</v>
      </c>
    </row>
    <row r="10" spans="1:6" x14ac:dyDescent="0.25">
      <c r="A10" t="s">
        <v>33</v>
      </c>
      <c r="B10">
        <v>340</v>
      </c>
      <c r="C10">
        <v>24</v>
      </c>
      <c r="D10">
        <f>IF('Średnie autobusy'!$D$10="",0, LEN('Średnie autobusy'!$D$10) - LEN(SUBSTITUTE('Średnie autobusy'!$D$10,",",""))+1)</f>
        <v>4</v>
      </c>
      <c r="E10">
        <v>2.2000000000000002</v>
      </c>
      <c r="F10" s="5">
        <f>AVERAGE(5,6,4)</f>
        <v>5</v>
      </c>
    </row>
    <row r="11" spans="1:6" x14ac:dyDescent="0.25">
      <c r="A11" t="s">
        <v>34</v>
      </c>
      <c r="B11">
        <v>247</v>
      </c>
      <c r="C11">
        <v>26</v>
      </c>
      <c r="D11">
        <f>IF('Średnie autobusy'!$D$11="",0, LEN('Średnie autobusy'!$D$11) - LEN(SUBSTITUTE('Średnie autobusy'!$D$11,",",""))+1)</f>
        <v>3</v>
      </c>
      <c r="E11">
        <v>0.9</v>
      </c>
      <c r="F11" s="5">
        <f>AVERAGE(5,7,5)</f>
        <v>5.666666666666667</v>
      </c>
    </row>
    <row r="12" spans="1:6" x14ac:dyDescent="0.25">
      <c r="A12" t="s">
        <v>35</v>
      </c>
      <c r="B12">
        <v>299</v>
      </c>
      <c r="C12">
        <v>32</v>
      </c>
      <c r="D12">
        <f>IF('Średnie autobusy'!$D$13="",0, LEN('Średnie autobusy'!$D$13) - LEN(SUBSTITUTE('Średnie autobusy'!$D$13,",",""))+1)</f>
        <v>5</v>
      </c>
      <c r="E12">
        <v>1.3</v>
      </c>
      <c r="F12" s="5">
        <f>AVERAGE(9,9,7)</f>
        <v>8.3333333333333339</v>
      </c>
    </row>
    <row r="13" spans="1:6" x14ac:dyDescent="0.25">
      <c r="A13" t="s">
        <v>38</v>
      </c>
      <c r="B13">
        <v>330</v>
      </c>
      <c r="C13">
        <v>29</v>
      </c>
      <c r="D13">
        <f>IF('Średnie autobusy'!$D$15="",0, LEN('Średnie autobusy'!$D$15) - LEN(SUBSTITUTE('Średnie autobusy'!$D$15,",",""))+1)</f>
        <v>4</v>
      </c>
      <c r="E13">
        <v>1.1000000000000001</v>
      </c>
      <c r="F13" s="5">
        <f>AVERAGE(9,7,10)</f>
        <v>8.6666666666666661</v>
      </c>
    </row>
    <row r="14" spans="1:6" x14ac:dyDescent="0.25">
      <c r="A14" t="s">
        <v>39</v>
      </c>
      <c r="B14">
        <v>360</v>
      </c>
      <c r="C14">
        <v>47</v>
      </c>
      <c r="D14">
        <f>IF('Średnie autobusy'!$D$16="",0, LEN('Średnie autobusy'!$D$16) - LEN(SUBSTITUTE('Średnie autobusy'!$D$16,",",""))+1)</f>
        <v>3</v>
      </c>
      <c r="E14">
        <v>0.9</v>
      </c>
      <c r="F14" s="5">
        <f>AVERAGE(8,3,8)</f>
        <v>6.333333333333333</v>
      </c>
    </row>
    <row r="16" spans="1:6" x14ac:dyDescent="0.25">
      <c r="A16" t="s">
        <v>46</v>
      </c>
      <c r="B16">
        <f>MAX(B5:B14)</f>
        <v>360</v>
      </c>
      <c r="C16">
        <f>MAX(C5:C14)</f>
        <v>47</v>
      </c>
      <c r="D16">
        <f>MAX(D5:D14)</f>
        <v>5</v>
      </c>
      <c r="E16">
        <f>MIN(E5:E14)</f>
        <v>0.6</v>
      </c>
      <c r="F16" s="5">
        <f>MAX(F5:F14)</f>
        <v>8.6666666666666661</v>
      </c>
    </row>
    <row r="17" spans="1:7" x14ac:dyDescent="0.25">
      <c r="A17" t="s">
        <v>47</v>
      </c>
      <c r="B17">
        <v>0.14000000000000001</v>
      </c>
      <c r="C17">
        <v>0.14000000000000001</v>
      </c>
      <c r="D17">
        <v>0.08</v>
      </c>
      <c r="E17">
        <v>0.5</v>
      </c>
      <c r="F17">
        <v>0.14000000000000001</v>
      </c>
      <c r="G17">
        <f>SUM(B17:F17)</f>
        <v>1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48</v>
      </c>
      <c r="F22" s="1" t="s">
        <v>5</v>
      </c>
      <c r="G22" s="1" t="s">
        <v>49</v>
      </c>
    </row>
    <row r="23" spans="1:7" x14ac:dyDescent="0.25">
      <c r="A23" t="s">
        <v>27</v>
      </c>
      <c r="B23" s="9">
        <f t="shared" ref="B23:D32" si="0">(B5/B$16)*B$17</f>
        <v>0.13222222222222224</v>
      </c>
      <c r="C23" s="9">
        <f t="shared" si="0"/>
        <v>9.8297872340425543E-2</v>
      </c>
      <c r="D23" s="9">
        <f t="shared" si="0"/>
        <v>4.8000000000000001E-2</v>
      </c>
      <c r="E23" s="9">
        <f t="shared" ref="E23:E32" si="1">($E$16/E5)*$E$17</f>
        <v>0.11538461538461538</v>
      </c>
      <c r="F23" s="9">
        <f t="shared" ref="F23:F32" si="2">(F5/F$16)*F$17</f>
        <v>6.461538461538463E-2</v>
      </c>
      <c r="G23" s="10">
        <f t="shared" ref="G23:G32" si="3">SUM(B23:F23)</f>
        <v>0.45852009456264775</v>
      </c>
    </row>
    <row r="24" spans="1:7" x14ac:dyDescent="0.25">
      <c r="A24" t="s">
        <v>28</v>
      </c>
      <c r="B24" s="9">
        <f t="shared" si="0"/>
        <v>8.4777777777777785E-2</v>
      </c>
      <c r="C24" s="9">
        <f t="shared" si="0"/>
        <v>8.0425531914893628E-2</v>
      </c>
      <c r="D24" s="9">
        <f t="shared" si="0"/>
        <v>6.4000000000000001E-2</v>
      </c>
      <c r="E24" s="9">
        <f t="shared" si="1"/>
        <v>0.125</v>
      </c>
      <c r="F24" s="9">
        <f t="shared" si="2"/>
        <v>0.12923076923076926</v>
      </c>
      <c r="G24" s="10">
        <f t="shared" si="3"/>
        <v>0.4834340789234407</v>
      </c>
    </row>
    <row r="25" spans="1:7" x14ac:dyDescent="0.25">
      <c r="A25" t="s">
        <v>29</v>
      </c>
      <c r="B25" s="9">
        <f t="shared" si="0"/>
        <v>9.7222222222222224E-2</v>
      </c>
      <c r="C25" s="9">
        <f t="shared" si="0"/>
        <v>9.8297872340425543E-2</v>
      </c>
      <c r="D25" s="9">
        <f t="shared" si="0"/>
        <v>6.4000000000000001E-2</v>
      </c>
      <c r="E25" s="9">
        <f t="shared" si="1"/>
        <v>0.27272727272727271</v>
      </c>
      <c r="F25" s="9">
        <f t="shared" si="2"/>
        <v>0.10769230769230771</v>
      </c>
      <c r="G25" s="10">
        <f t="shared" si="3"/>
        <v>0.63993967498222826</v>
      </c>
    </row>
    <row r="26" spans="1:7" x14ac:dyDescent="0.25">
      <c r="A26" t="s">
        <v>30</v>
      </c>
      <c r="B26" s="9">
        <f t="shared" si="0"/>
        <v>0.12677777777777779</v>
      </c>
      <c r="C26" s="9">
        <f t="shared" si="0"/>
        <v>0.10723404255319149</v>
      </c>
      <c r="D26" s="9">
        <f t="shared" si="0"/>
        <v>6.4000000000000001E-2</v>
      </c>
      <c r="E26" s="9">
        <f t="shared" si="1"/>
        <v>0.11538461538461538</v>
      </c>
      <c r="F26" s="9">
        <f t="shared" si="2"/>
        <v>8.0769230769230788E-2</v>
      </c>
      <c r="G26" s="10">
        <f t="shared" si="3"/>
        <v>0.49416566648481541</v>
      </c>
    </row>
    <row r="27" spans="1:7" x14ac:dyDescent="0.25">
      <c r="A27" t="s">
        <v>31</v>
      </c>
      <c r="B27" s="9">
        <f t="shared" si="0"/>
        <v>8.1666666666666679E-2</v>
      </c>
      <c r="C27" s="9">
        <f t="shared" si="0"/>
        <v>4.7659574468085109E-2</v>
      </c>
      <c r="D27" s="9">
        <f t="shared" si="0"/>
        <v>6.4000000000000001E-2</v>
      </c>
      <c r="E27" s="9">
        <f t="shared" si="1"/>
        <v>0.5</v>
      </c>
      <c r="F27" s="9">
        <f t="shared" si="2"/>
        <v>7.0000000000000007E-2</v>
      </c>
      <c r="G27" s="10">
        <f t="shared" si="3"/>
        <v>0.76332624113475189</v>
      </c>
    </row>
    <row r="28" spans="1:7" x14ac:dyDescent="0.25">
      <c r="A28" t="s">
        <v>33</v>
      </c>
      <c r="B28" s="9">
        <f t="shared" si="0"/>
        <v>0.13222222222222224</v>
      </c>
      <c r="C28" s="9">
        <f t="shared" si="0"/>
        <v>7.1489361702127663E-2</v>
      </c>
      <c r="D28" s="9">
        <f t="shared" si="0"/>
        <v>6.4000000000000001E-2</v>
      </c>
      <c r="E28" s="9">
        <f t="shared" si="1"/>
        <v>0.13636363636363635</v>
      </c>
      <c r="F28" s="9">
        <f t="shared" si="2"/>
        <v>8.0769230769230788E-2</v>
      </c>
      <c r="G28" s="10">
        <f t="shared" si="3"/>
        <v>0.48484445105721707</v>
      </c>
    </row>
    <row r="29" spans="1:7" x14ac:dyDescent="0.25">
      <c r="A29" t="s">
        <v>34</v>
      </c>
      <c r="B29" s="9">
        <f t="shared" si="0"/>
        <v>9.6055555555555561E-2</v>
      </c>
      <c r="C29" s="9">
        <f t="shared" si="0"/>
        <v>7.7446808510638301E-2</v>
      </c>
      <c r="D29" s="9">
        <f t="shared" si="0"/>
        <v>4.8000000000000001E-2</v>
      </c>
      <c r="E29" s="9">
        <f t="shared" si="1"/>
        <v>0.33333333333333331</v>
      </c>
      <c r="F29" s="9">
        <f t="shared" si="2"/>
        <v>9.1538461538461569E-2</v>
      </c>
      <c r="G29" s="10">
        <f t="shared" si="3"/>
        <v>0.64637415893798877</v>
      </c>
    </row>
    <row r="30" spans="1:7" x14ac:dyDescent="0.25">
      <c r="A30" t="s">
        <v>35</v>
      </c>
      <c r="B30" s="9">
        <f t="shared" si="0"/>
        <v>0.1162777777777778</v>
      </c>
      <c r="C30" s="9">
        <f t="shared" si="0"/>
        <v>9.5319148936170217E-2</v>
      </c>
      <c r="D30" s="9">
        <f t="shared" si="0"/>
        <v>0.08</v>
      </c>
      <c r="E30" s="9">
        <f t="shared" si="1"/>
        <v>0.23076923076923075</v>
      </c>
      <c r="F30" s="9">
        <f t="shared" si="2"/>
        <v>0.13461538461538464</v>
      </c>
      <c r="G30" s="10">
        <f t="shared" si="3"/>
        <v>0.65698154209856341</v>
      </c>
    </row>
    <row r="31" spans="1:7" x14ac:dyDescent="0.25">
      <c r="A31" t="s">
        <v>38</v>
      </c>
      <c r="B31" s="9">
        <f t="shared" si="0"/>
        <v>0.12833333333333333</v>
      </c>
      <c r="C31" s="9">
        <f t="shared" si="0"/>
        <v>8.6382978723404266E-2</v>
      </c>
      <c r="D31" s="9">
        <f t="shared" si="0"/>
        <v>6.4000000000000001E-2</v>
      </c>
      <c r="E31" s="9">
        <f t="shared" si="1"/>
        <v>0.27272727272727271</v>
      </c>
      <c r="F31" s="9">
        <f t="shared" si="2"/>
        <v>0.14000000000000001</v>
      </c>
      <c r="G31" s="10">
        <f t="shared" si="3"/>
        <v>0.69144358478401025</v>
      </c>
    </row>
    <row r="32" spans="1:7" x14ac:dyDescent="0.25">
      <c r="A32" s="14" t="s">
        <v>39</v>
      </c>
      <c r="B32" s="15">
        <f t="shared" si="0"/>
        <v>0.14000000000000001</v>
      </c>
      <c r="C32" s="15">
        <f t="shared" si="0"/>
        <v>0.14000000000000001</v>
      </c>
      <c r="D32" s="15">
        <f t="shared" si="0"/>
        <v>4.8000000000000001E-2</v>
      </c>
      <c r="E32" s="15">
        <f t="shared" si="1"/>
        <v>0.33333333333333331</v>
      </c>
      <c r="F32" s="15">
        <f t="shared" si="2"/>
        <v>0.10230769230769232</v>
      </c>
      <c r="G32" s="16">
        <f t="shared" si="3"/>
        <v>0.76364102564102565</v>
      </c>
    </row>
    <row r="34" spans="1:6" x14ac:dyDescent="0.25">
      <c r="A34" s="22" t="s">
        <v>56</v>
      </c>
    </row>
    <row r="36" spans="1:6" x14ac:dyDescent="0.25">
      <c r="A36" s="1" t="s">
        <v>0</v>
      </c>
      <c r="B36" s="1" t="s">
        <v>41</v>
      </c>
      <c r="C36" s="1" t="s">
        <v>42</v>
      </c>
      <c r="D36" s="1" t="s">
        <v>43</v>
      </c>
      <c r="E36" s="1" t="s">
        <v>44</v>
      </c>
      <c r="F36" s="1" t="s">
        <v>45</v>
      </c>
    </row>
    <row r="37" spans="1:6" x14ac:dyDescent="0.25">
      <c r="A37" t="s">
        <v>27</v>
      </c>
      <c r="B37">
        <v>340</v>
      </c>
      <c r="C37">
        <v>33</v>
      </c>
      <c r="D37">
        <f>IF('Średnie autobusy'!$D$3="",0, LEN('Średnie autobusy'!$D$3) - LEN(SUBSTITUTE('Średnie autobusy'!$D$3,",",""))+1)</f>
        <v>3</v>
      </c>
      <c r="E37">
        <v>2.6</v>
      </c>
      <c r="F37" s="5">
        <f>AVERAGE(6,4,2)</f>
        <v>4</v>
      </c>
    </row>
    <row r="38" spans="1:6" x14ac:dyDescent="0.25">
      <c r="A38" t="s">
        <v>28</v>
      </c>
      <c r="B38">
        <v>218</v>
      </c>
      <c r="C38">
        <v>27</v>
      </c>
      <c r="D38">
        <f>IF('Średnie autobusy'!$D$4="",0, LEN('Średnie autobusy'!$D$4) - LEN(SUBSTITUTE('Średnie autobusy'!$D$4,",",""))+1)</f>
        <v>4</v>
      </c>
      <c r="E38">
        <v>2.4</v>
      </c>
      <c r="F38" s="5">
        <f>AVERAGE(6,8,10)</f>
        <v>8</v>
      </c>
    </row>
    <row r="39" spans="1:6" x14ac:dyDescent="0.25">
      <c r="A39" t="s">
        <v>29</v>
      </c>
      <c r="B39">
        <v>250</v>
      </c>
      <c r="C39">
        <v>33</v>
      </c>
      <c r="D39">
        <f>IF('Średnie autobusy'!$D$5="",0, LEN('Średnie autobusy'!$D$5) - LEN(SUBSTITUTE('Średnie autobusy'!$D$5,",",""))+1)</f>
        <v>4</v>
      </c>
      <c r="E39">
        <v>1.1000000000000001</v>
      </c>
      <c r="F39" s="5">
        <f>AVERAGE(10,5,5)</f>
        <v>6.666666666666667</v>
      </c>
    </row>
    <row r="40" spans="1:6" x14ac:dyDescent="0.25">
      <c r="A40" t="s">
        <v>30</v>
      </c>
      <c r="B40">
        <v>326</v>
      </c>
      <c r="C40">
        <v>36</v>
      </c>
      <c r="D40">
        <f>IF('Średnie autobusy'!$D$7="",0, LEN('Średnie autobusy'!$D$7) - LEN(SUBSTITUTE('Średnie autobusy'!$D$7,",",""))+1)</f>
        <v>4</v>
      </c>
      <c r="E40">
        <v>2.6</v>
      </c>
      <c r="F40" s="5">
        <f>AVERAGE(5,5,5)</f>
        <v>5</v>
      </c>
    </row>
    <row r="41" spans="1:6" x14ac:dyDescent="0.25">
      <c r="A41" t="s">
        <v>31</v>
      </c>
      <c r="B41">
        <v>210</v>
      </c>
      <c r="C41">
        <v>16</v>
      </c>
      <c r="D41">
        <f>IF('Średnie autobusy'!$D$9="",0, LEN('Średnie autobusy'!$D$9) - LEN(SUBSTITUTE('Średnie autobusy'!$D$9,",",""))+1)</f>
        <v>4</v>
      </c>
      <c r="E41">
        <v>0.6</v>
      </c>
      <c r="F41" s="5">
        <f>AVERAGE(3,6,4)</f>
        <v>4.333333333333333</v>
      </c>
    </row>
    <row r="42" spans="1:6" x14ac:dyDescent="0.25">
      <c r="A42" t="s">
        <v>33</v>
      </c>
      <c r="B42">
        <v>340</v>
      </c>
      <c r="C42">
        <v>24</v>
      </c>
      <c r="D42">
        <f>IF('Średnie autobusy'!$D$10="",0, LEN('Średnie autobusy'!$D$10) - LEN(SUBSTITUTE('Średnie autobusy'!$D$10,",",""))+1)</f>
        <v>4</v>
      </c>
      <c r="E42">
        <v>2.2000000000000002</v>
      </c>
      <c r="F42" s="5">
        <f>AVERAGE(5,6,4)</f>
        <v>5</v>
      </c>
    </row>
    <row r="43" spans="1:6" x14ac:dyDescent="0.25">
      <c r="A43" t="s">
        <v>34</v>
      </c>
      <c r="B43">
        <v>247</v>
      </c>
      <c r="C43">
        <v>26</v>
      </c>
      <c r="D43">
        <f>IF('Średnie autobusy'!$D$11="",0, LEN('Średnie autobusy'!$D$11) - LEN(SUBSTITUTE('Średnie autobusy'!$D$11,",",""))+1)</f>
        <v>3</v>
      </c>
      <c r="E43">
        <v>0.9</v>
      </c>
      <c r="F43" s="5">
        <f>AVERAGE(5,7,5)</f>
        <v>5.666666666666667</v>
      </c>
    </row>
    <row r="44" spans="1:6" x14ac:dyDescent="0.25">
      <c r="A44" t="s">
        <v>35</v>
      </c>
      <c r="B44">
        <v>299</v>
      </c>
      <c r="C44">
        <v>32</v>
      </c>
      <c r="D44">
        <f>IF('Średnie autobusy'!$D$13="",0, LEN('Średnie autobusy'!$D$13) - LEN(SUBSTITUTE('Średnie autobusy'!$D$13,",",""))+1)</f>
        <v>5</v>
      </c>
      <c r="E44">
        <v>1.3</v>
      </c>
      <c r="F44" s="5">
        <f>AVERAGE(9,9,7)</f>
        <v>8.3333333333333339</v>
      </c>
    </row>
    <row r="45" spans="1:6" x14ac:dyDescent="0.25">
      <c r="A45" t="s">
        <v>38</v>
      </c>
      <c r="B45">
        <v>330</v>
      </c>
      <c r="C45">
        <v>29</v>
      </c>
      <c r="D45">
        <f>IF('Średnie autobusy'!$D$15="",0, LEN('Średnie autobusy'!$D$15) - LEN(SUBSTITUTE('Średnie autobusy'!$D$15,",",""))+1)</f>
        <v>4</v>
      </c>
      <c r="E45">
        <v>1.1000000000000001</v>
      </c>
      <c r="F45" s="5">
        <f>AVERAGE(9,7,10)</f>
        <v>8.6666666666666661</v>
      </c>
    </row>
    <row r="46" spans="1:6" x14ac:dyDescent="0.25">
      <c r="A46" t="s">
        <v>39</v>
      </c>
      <c r="B46">
        <v>360</v>
      </c>
      <c r="C46">
        <v>47</v>
      </c>
      <c r="D46">
        <f>IF('Średnie autobusy'!$D$16="",0, LEN('Średnie autobusy'!$D$16) - LEN(SUBSTITUTE('Średnie autobusy'!$D$16,",",""))+1)</f>
        <v>3</v>
      </c>
      <c r="E46">
        <v>0.9</v>
      </c>
      <c r="F46" s="5">
        <f>AVERAGE(8,3,8)</f>
        <v>6.333333333333333</v>
      </c>
    </row>
    <row r="48" spans="1:6" x14ac:dyDescent="0.25">
      <c r="A48" t="s">
        <v>46</v>
      </c>
      <c r="B48">
        <f>MAX(B37:B46)</f>
        <v>360</v>
      </c>
      <c r="C48">
        <f>MAX(C37:C46)</f>
        <v>47</v>
      </c>
      <c r="D48">
        <f>MAX(D37:D46)</f>
        <v>5</v>
      </c>
      <c r="E48">
        <f>MIN(E37:E46)</f>
        <v>0.6</v>
      </c>
      <c r="F48" s="5">
        <f>MAX(F37:F46)</f>
        <v>8.6666666666666661</v>
      </c>
    </row>
    <row r="49" spans="1:7" x14ac:dyDescent="0.25">
      <c r="A49" t="s">
        <v>47</v>
      </c>
      <c r="B49">
        <v>0.35</v>
      </c>
      <c r="C49">
        <v>0.35</v>
      </c>
      <c r="D49">
        <v>0.15</v>
      </c>
      <c r="E49">
        <v>0.05</v>
      </c>
      <c r="F49">
        <v>0.1</v>
      </c>
      <c r="G49">
        <f>SUM(B49:F49)</f>
        <v>1</v>
      </c>
    </row>
    <row r="54" spans="1:7" x14ac:dyDescent="0.25">
      <c r="A54" s="1" t="s">
        <v>0</v>
      </c>
      <c r="B54" s="1" t="s">
        <v>1</v>
      </c>
      <c r="C54" s="1" t="s">
        <v>2</v>
      </c>
      <c r="D54" s="1" t="s">
        <v>3</v>
      </c>
      <c r="E54" s="1" t="s">
        <v>48</v>
      </c>
      <c r="F54" s="1" t="s">
        <v>5</v>
      </c>
      <c r="G54" s="1" t="s">
        <v>49</v>
      </c>
    </row>
    <row r="55" spans="1:7" x14ac:dyDescent="0.25">
      <c r="A55" t="s">
        <v>27</v>
      </c>
      <c r="B55" s="9">
        <f t="shared" ref="B55:B64" si="4">(B37/B$16)*B$49</f>
        <v>0.33055555555555555</v>
      </c>
      <c r="C55" s="9">
        <f t="shared" ref="C55:D64" si="5">(C37/C$48)*C$49</f>
        <v>0.24574468085106382</v>
      </c>
      <c r="D55" s="9">
        <f t="shared" si="5"/>
        <v>0.09</v>
      </c>
      <c r="E55" s="9">
        <f t="shared" ref="E55:E64" si="6">($E$48/E37)*$E$49</f>
        <v>1.1538461538461539E-2</v>
      </c>
      <c r="F55" s="9">
        <f t="shared" ref="F55:F64" si="7">(F37/F$16)*F$49</f>
        <v>4.6153846153846156E-2</v>
      </c>
      <c r="G55" s="10">
        <f t="shared" ref="G55:G64" si="8">SUM(B55:F55)</f>
        <v>0.72399254409892699</v>
      </c>
    </row>
    <row r="56" spans="1:7" x14ac:dyDescent="0.25">
      <c r="A56" t="s">
        <v>28</v>
      </c>
      <c r="B56" s="9">
        <f t="shared" si="4"/>
        <v>0.21194444444444441</v>
      </c>
      <c r="C56" s="9">
        <f t="shared" si="5"/>
        <v>0.20106382978723406</v>
      </c>
      <c r="D56" s="9">
        <f t="shared" si="5"/>
        <v>0.12</v>
      </c>
      <c r="E56" s="9">
        <f t="shared" si="6"/>
        <v>1.2500000000000001E-2</v>
      </c>
      <c r="F56" s="9">
        <f t="shared" si="7"/>
        <v>9.2307692307692313E-2</v>
      </c>
      <c r="G56" s="10">
        <f t="shared" si="8"/>
        <v>0.63781596653937067</v>
      </c>
    </row>
    <row r="57" spans="1:7" x14ac:dyDescent="0.25">
      <c r="A57" t="s">
        <v>29</v>
      </c>
      <c r="B57" s="9">
        <f t="shared" si="4"/>
        <v>0.24305555555555552</v>
      </c>
      <c r="C57" s="9">
        <f t="shared" si="5"/>
        <v>0.24574468085106382</v>
      </c>
      <c r="D57" s="9">
        <f t="shared" si="5"/>
        <v>0.12</v>
      </c>
      <c r="E57" s="9">
        <f t="shared" si="6"/>
        <v>2.7272727272727271E-2</v>
      </c>
      <c r="F57" s="9">
        <f t="shared" si="7"/>
        <v>7.6923076923076927E-2</v>
      </c>
      <c r="G57" s="10">
        <f t="shared" si="8"/>
        <v>0.71299604060242361</v>
      </c>
    </row>
    <row r="58" spans="1:7" x14ac:dyDescent="0.25">
      <c r="A58" t="s">
        <v>30</v>
      </c>
      <c r="B58" s="9">
        <f t="shared" si="4"/>
        <v>0.31694444444444442</v>
      </c>
      <c r="C58" s="9">
        <f t="shared" si="5"/>
        <v>0.26808510638297872</v>
      </c>
      <c r="D58" s="9">
        <f t="shared" si="5"/>
        <v>0.12</v>
      </c>
      <c r="E58" s="9">
        <f t="shared" si="6"/>
        <v>1.1538461538461539E-2</v>
      </c>
      <c r="F58" s="9">
        <f t="shared" si="7"/>
        <v>5.7692307692307702E-2</v>
      </c>
      <c r="G58" s="10">
        <f t="shared" si="8"/>
        <v>0.77426032005819234</v>
      </c>
    </row>
    <row r="59" spans="1:7" x14ac:dyDescent="0.25">
      <c r="A59" t="s">
        <v>31</v>
      </c>
      <c r="B59" s="9">
        <f t="shared" si="4"/>
        <v>0.20416666666666666</v>
      </c>
      <c r="C59" s="9">
        <f t="shared" si="5"/>
        <v>0.11914893617021276</v>
      </c>
      <c r="D59" s="9">
        <f t="shared" si="5"/>
        <v>0.12</v>
      </c>
      <c r="E59" s="9">
        <f t="shared" si="6"/>
        <v>0.05</v>
      </c>
      <c r="F59" s="9">
        <f t="shared" si="7"/>
        <v>0.05</v>
      </c>
      <c r="G59" s="10">
        <f t="shared" si="8"/>
        <v>0.54331560283687941</v>
      </c>
    </row>
    <row r="60" spans="1:7" x14ac:dyDescent="0.25">
      <c r="A60" t="s">
        <v>33</v>
      </c>
      <c r="B60" s="9">
        <f t="shared" si="4"/>
        <v>0.33055555555555555</v>
      </c>
      <c r="C60" s="9">
        <f t="shared" si="5"/>
        <v>0.17872340425531913</v>
      </c>
      <c r="D60" s="9">
        <f t="shared" si="5"/>
        <v>0.12</v>
      </c>
      <c r="E60" s="9">
        <f t="shared" si="6"/>
        <v>1.3636363636363636E-2</v>
      </c>
      <c r="F60" s="9">
        <f t="shared" si="7"/>
        <v>5.7692307692307702E-2</v>
      </c>
      <c r="G60" s="10">
        <f t="shared" si="8"/>
        <v>0.70060763113954605</v>
      </c>
    </row>
    <row r="61" spans="1:7" x14ac:dyDescent="0.25">
      <c r="A61" t="s">
        <v>34</v>
      </c>
      <c r="B61" s="9">
        <f t="shared" si="4"/>
        <v>0.24013888888888887</v>
      </c>
      <c r="C61" s="9">
        <f t="shared" si="5"/>
        <v>0.19361702127659575</v>
      </c>
      <c r="D61" s="9">
        <f t="shared" si="5"/>
        <v>0.09</v>
      </c>
      <c r="E61" s="9">
        <f t="shared" si="6"/>
        <v>3.3333333333333333E-2</v>
      </c>
      <c r="F61" s="9">
        <f t="shared" si="7"/>
        <v>6.5384615384615402E-2</v>
      </c>
      <c r="G61" s="10">
        <f t="shared" si="8"/>
        <v>0.62247385888343332</v>
      </c>
    </row>
    <row r="62" spans="1:7" x14ac:dyDescent="0.25">
      <c r="A62" t="s">
        <v>35</v>
      </c>
      <c r="B62" s="9">
        <f t="shared" si="4"/>
        <v>0.29069444444444442</v>
      </c>
      <c r="C62" s="9">
        <f t="shared" si="5"/>
        <v>0.23829787234042552</v>
      </c>
      <c r="D62" s="9">
        <f t="shared" si="5"/>
        <v>0.15</v>
      </c>
      <c r="E62" s="9">
        <f t="shared" si="6"/>
        <v>2.3076923076923078E-2</v>
      </c>
      <c r="F62" s="9">
        <f t="shared" si="7"/>
        <v>9.6153846153846173E-2</v>
      </c>
      <c r="G62" s="10">
        <f t="shared" si="8"/>
        <v>0.79822308601563918</v>
      </c>
    </row>
    <row r="63" spans="1:7" x14ac:dyDescent="0.25">
      <c r="A63" t="s">
        <v>38</v>
      </c>
      <c r="B63" s="9">
        <f t="shared" si="4"/>
        <v>0.3208333333333333</v>
      </c>
      <c r="C63" s="9">
        <f t="shared" si="5"/>
        <v>0.21595744680851062</v>
      </c>
      <c r="D63" s="9">
        <f t="shared" si="5"/>
        <v>0.12</v>
      </c>
      <c r="E63" s="9">
        <f t="shared" si="6"/>
        <v>2.7272727272727271E-2</v>
      </c>
      <c r="F63" s="9">
        <f t="shared" si="7"/>
        <v>0.1</v>
      </c>
      <c r="G63" s="10">
        <f t="shared" si="8"/>
        <v>0.78406350741457109</v>
      </c>
    </row>
    <row r="64" spans="1:7" x14ac:dyDescent="0.25">
      <c r="A64" s="14" t="s">
        <v>39</v>
      </c>
      <c r="B64" s="15">
        <f t="shared" si="4"/>
        <v>0.35</v>
      </c>
      <c r="C64" s="15">
        <f t="shared" si="5"/>
        <v>0.35</v>
      </c>
      <c r="D64" s="15">
        <f t="shared" si="5"/>
        <v>0.09</v>
      </c>
      <c r="E64" s="15">
        <f t="shared" si="6"/>
        <v>3.3333333333333333E-2</v>
      </c>
      <c r="F64" s="15">
        <f t="shared" si="7"/>
        <v>7.3076923076923081E-2</v>
      </c>
      <c r="G64" s="16">
        <f t="shared" si="8"/>
        <v>0.89641025641025629</v>
      </c>
    </row>
    <row r="66" spans="1:6" x14ac:dyDescent="0.25">
      <c r="A66" s="22" t="s">
        <v>57</v>
      </c>
    </row>
    <row r="68" spans="1:6" x14ac:dyDescent="0.25">
      <c r="A68" s="1" t="s">
        <v>0</v>
      </c>
      <c r="B68" s="1" t="s">
        <v>41</v>
      </c>
      <c r="C68" s="1" t="s">
        <v>42</v>
      </c>
      <c r="D68" s="1" t="s">
        <v>43</v>
      </c>
      <c r="E68" s="1" t="s">
        <v>44</v>
      </c>
      <c r="F68" s="1" t="s">
        <v>45</v>
      </c>
    </row>
    <row r="69" spans="1:6" x14ac:dyDescent="0.25">
      <c r="A69" t="s">
        <v>27</v>
      </c>
      <c r="B69">
        <v>340</v>
      </c>
      <c r="C69">
        <v>33</v>
      </c>
      <c r="D69">
        <f>IF('Średnie autobusy'!$D$3="",0, LEN('Średnie autobusy'!$D$3) - LEN(SUBSTITUTE('Średnie autobusy'!$D$3,",",""))+1)</f>
        <v>3</v>
      </c>
      <c r="E69">
        <v>2.6</v>
      </c>
      <c r="F69" s="5">
        <f>AVERAGE(6,4,2)</f>
        <v>4</v>
      </c>
    </row>
    <row r="70" spans="1:6" x14ac:dyDescent="0.25">
      <c r="A70" t="s">
        <v>28</v>
      </c>
      <c r="B70">
        <v>218</v>
      </c>
      <c r="C70">
        <v>27</v>
      </c>
      <c r="D70">
        <f>IF('Średnie autobusy'!$D$4="",0, LEN('Średnie autobusy'!$D$4) - LEN(SUBSTITUTE('Średnie autobusy'!$D$4,",",""))+1)</f>
        <v>4</v>
      </c>
      <c r="E70">
        <v>2.4</v>
      </c>
      <c r="F70" s="5">
        <f>AVERAGE(6,8,10)</f>
        <v>8</v>
      </c>
    </row>
    <row r="71" spans="1:6" x14ac:dyDescent="0.25">
      <c r="A71" t="s">
        <v>29</v>
      </c>
      <c r="B71">
        <v>250</v>
      </c>
      <c r="C71">
        <v>33</v>
      </c>
      <c r="D71">
        <f>IF('Średnie autobusy'!$D$5="",0, LEN('Średnie autobusy'!$D$5) - LEN(SUBSTITUTE('Średnie autobusy'!$D$5,",",""))+1)</f>
        <v>4</v>
      </c>
      <c r="E71">
        <v>1.1000000000000001</v>
      </c>
      <c r="F71" s="5">
        <f>AVERAGE(10,5,5)</f>
        <v>6.666666666666667</v>
      </c>
    </row>
    <row r="72" spans="1:6" x14ac:dyDescent="0.25">
      <c r="A72" t="s">
        <v>30</v>
      </c>
      <c r="B72">
        <v>326</v>
      </c>
      <c r="C72">
        <v>36</v>
      </c>
      <c r="D72">
        <f>IF('Średnie autobusy'!$D$7="",0, LEN('Średnie autobusy'!$D$7) - LEN(SUBSTITUTE('Średnie autobusy'!$D$7,",",""))+1)</f>
        <v>4</v>
      </c>
      <c r="E72">
        <v>2.6</v>
      </c>
      <c r="F72" s="5">
        <f>AVERAGE(5,5,5)</f>
        <v>5</v>
      </c>
    </row>
    <row r="73" spans="1:6" x14ac:dyDescent="0.25">
      <c r="A73" t="s">
        <v>31</v>
      </c>
      <c r="B73">
        <v>210</v>
      </c>
      <c r="C73">
        <v>16</v>
      </c>
      <c r="D73">
        <f>IF('Średnie autobusy'!$D$9="",0, LEN('Średnie autobusy'!$D$9) - LEN(SUBSTITUTE('Średnie autobusy'!$D$9,",",""))+1)</f>
        <v>4</v>
      </c>
      <c r="E73">
        <v>0.6</v>
      </c>
      <c r="F73" s="5">
        <f>AVERAGE(3,6,4)</f>
        <v>4.333333333333333</v>
      </c>
    </row>
    <row r="74" spans="1:6" x14ac:dyDescent="0.25">
      <c r="A74" t="s">
        <v>33</v>
      </c>
      <c r="B74">
        <v>340</v>
      </c>
      <c r="C74">
        <v>24</v>
      </c>
      <c r="D74">
        <f>IF('Średnie autobusy'!$D$10="",0, LEN('Średnie autobusy'!$D$10) - LEN(SUBSTITUTE('Średnie autobusy'!$D$10,",",""))+1)</f>
        <v>4</v>
      </c>
      <c r="E74">
        <v>2.2000000000000002</v>
      </c>
      <c r="F74" s="5">
        <f>AVERAGE(5,6,4)</f>
        <v>5</v>
      </c>
    </row>
    <row r="75" spans="1:6" x14ac:dyDescent="0.25">
      <c r="A75" t="s">
        <v>34</v>
      </c>
      <c r="B75">
        <v>247</v>
      </c>
      <c r="C75">
        <v>26</v>
      </c>
      <c r="D75">
        <f>IF('Średnie autobusy'!$D$11="",0, LEN('Średnie autobusy'!$D$11) - LEN(SUBSTITUTE('Średnie autobusy'!$D$11,",",""))+1)</f>
        <v>3</v>
      </c>
      <c r="E75">
        <v>0.9</v>
      </c>
      <c r="F75" s="5">
        <f>AVERAGE(5,7,5)</f>
        <v>5.666666666666667</v>
      </c>
    </row>
    <row r="76" spans="1:6" x14ac:dyDescent="0.25">
      <c r="A76" t="s">
        <v>35</v>
      </c>
      <c r="B76">
        <v>299</v>
      </c>
      <c r="C76">
        <v>32</v>
      </c>
      <c r="D76">
        <f>IF('Średnie autobusy'!$D$13="",0, LEN('Średnie autobusy'!$D$13) - LEN(SUBSTITUTE('Średnie autobusy'!$D$13,",",""))+1)</f>
        <v>5</v>
      </c>
      <c r="E76">
        <v>1.3</v>
      </c>
      <c r="F76" s="5">
        <f>AVERAGE(9,9,7)</f>
        <v>8.3333333333333339</v>
      </c>
    </row>
    <row r="77" spans="1:6" x14ac:dyDescent="0.25">
      <c r="A77" t="s">
        <v>38</v>
      </c>
      <c r="B77">
        <v>330</v>
      </c>
      <c r="C77">
        <v>29</v>
      </c>
      <c r="D77">
        <f>IF('Średnie autobusy'!$D$15="",0, LEN('Średnie autobusy'!$D$15) - LEN(SUBSTITUTE('Średnie autobusy'!$D$15,",",""))+1)</f>
        <v>4</v>
      </c>
      <c r="E77">
        <v>1.1000000000000001</v>
      </c>
      <c r="F77" s="5">
        <f>AVERAGE(9,7,10)</f>
        <v>8.6666666666666661</v>
      </c>
    </row>
    <row r="78" spans="1:6" x14ac:dyDescent="0.25">
      <c r="A78" t="s">
        <v>39</v>
      </c>
      <c r="B78">
        <v>360</v>
      </c>
      <c r="C78">
        <v>47</v>
      </c>
      <c r="D78">
        <f>IF('Średnie autobusy'!$D$16="",0, LEN('Średnie autobusy'!$D$16) - LEN(SUBSTITUTE('Średnie autobusy'!$D$16,",",""))+1)</f>
        <v>3</v>
      </c>
      <c r="E78">
        <v>0.9</v>
      </c>
      <c r="F78" s="5">
        <f>AVERAGE(8,3,8)</f>
        <v>6.333333333333333</v>
      </c>
    </row>
    <row r="80" spans="1:6" x14ac:dyDescent="0.25">
      <c r="A80" t="s">
        <v>46</v>
      </c>
      <c r="B80">
        <f>MAX(B69:B78)</f>
        <v>360</v>
      </c>
      <c r="C80">
        <f>MAX(C69:C78)</f>
        <v>47</v>
      </c>
      <c r="D80">
        <f>MAX(D69:D78)</f>
        <v>5</v>
      </c>
      <c r="E80">
        <f>MIN(E69:E78)</f>
        <v>0.6</v>
      </c>
      <c r="F80" s="5">
        <f>MAX(F69:F78)</f>
        <v>8.6666666666666661</v>
      </c>
    </row>
    <row r="81" spans="1:7" x14ac:dyDescent="0.25">
      <c r="A81" t="s">
        <v>47</v>
      </c>
      <c r="B81">
        <v>0.2</v>
      </c>
      <c r="C81">
        <v>0.2</v>
      </c>
      <c r="D81">
        <v>0.2</v>
      </c>
      <c r="E81">
        <v>0.2</v>
      </c>
      <c r="F81">
        <v>0.2</v>
      </c>
      <c r="G81">
        <f>SUM(B81:F81)</f>
        <v>1</v>
      </c>
    </row>
    <row r="86" spans="1:7" x14ac:dyDescent="0.25">
      <c r="A86" s="1" t="s">
        <v>0</v>
      </c>
      <c r="B86" s="1" t="s">
        <v>1</v>
      </c>
      <c r="C86" s="1" t="s">
        <v>2</v>
      </c>
      <c r="D86" s="1" t="s">
        <v>3</v>
      </c>
      <c r="E86" s="1" t="s">
        <v>48</v>
      </c>
      <c r="F86" s="1" t="s">
        <v>5</v>
      </c>
      <c r="G86" s="1" t="s">
        <v>49</v>
      </c>
    </row>
    <row r="87" spans="1:7" x14ac:dyDescent="0.25">
      <c r="A87" t="s">
        <v>27</v>
      </c>
      <c r="B87" s="9">
        <f t="shared" ref="B87:D96" si="9">(B69/B$80)*B$81</f>
        <v>0.18888888888888888</v>
      </c>
      <c r="C87" s="9">
        <f t="shared" si="9"/>
        <v>0.14042553191489363</v>
      </c>
      <c r="D87" s="9">
        <f t="shared" si="9"/>
        <v>0.12</v>
      </c>
      <c r="E87" s="9">
        <f t="shared" ref="E87:E96" si="10">($E$80/E69)*$E$81</f>
        <v>4.6153846153846156E-2</v>
      </c>
      <c r="F87" s="9">
        <f t="shared" ref="F87:F96" si="11">(F69/F$80)*F$81</f>
        <v>9.2307692307692313E-2</v>
      </c>
      <c r="G87" s="10">
        <f t="shared" ref="G87:G96" si="12">SUM(B87:F87)</f>
        <v>0.58777595926532089</v>
      </c>
    </row>
    <row r="88" spans="1:7" x14ac:dyDescent="0.25">
      <c r="A88" t="s">
        <v>28</v>
      </c>
      <c r="B88" s="9">
        <f t="shared" si="9"/>
        <v>0.12111111111111111</v>
      </c>
      <c r="C88" s="9">
        <f t="shared" si="9"/>
        <v>0.11489361702127661</v>
      </c>
      <c r="D88" s="9">
        <f t="shared" si="9"/>
        <v>0.16000000000000003</v>
      </c>
      <c r="E88" s="9">
        <f t="shared" si="10"/>
        <v>0.05</v>
      </c>
      <c r="F88" s="9">
        <f t="shared" si="11"/>
        <v>0.18461538461538463</v>
      </c>
      <c r="G88" s="10">
        <f t="shared" si="12"/>
        <v>0.63062011274777241</v>
      </c>
    </row>
    <row r="89" spans="1:7" x14ac:dyDescent="0.25">
      <c r="A89" t="s">
        <v>29</v>
      </c>
      <c r="B89" s="9">
        <f t="shared" si="9"/>
        <v>0.1388888888888889</v>
      </c>
      <c r="C89" s="9">
        <f t="shared" si="9"/>
        <v>0.14042553191489363</v>
      </c>
      <c r="D89" s="9">
        <f t="shared" si="9"/>
        <v>0.16000000000000003</v>
      </c>
      <c r="E89" s="9">
        <f t="shared" si="10"/>
        <v>0.10909090909090909</v>
      </c>
      <c r="F89" s="9">
        <f t="shared" si="11"/>
        <v>0.15384615384615385</v>
      </c>
      <c r="G89" s="10">
        <f t="shared" si="12"/>
        <v>0.70225148374084556</v>
      </c>
    </row>
    <row r="90" spans="1:7" x14ac:dyDescent="0.25">
      <c r="A90" t="s">
        <v>30</v>
      </c>
      <c r="B90" s="9">
        <f t="shared" si="9"/>
        <v>0.18111111111111111</v>
      </c>
      <c r="C90" s="9">
        <f t="shared" si="9"/>
        <v>0.15319148936170213</v>
      </c>
      <c r="D90" s="9">
        <f t="shared" si="9"/>
        <v>0.16000000000000003</v>
      </c>
      <c r="E90" s="9">
        <f t="shared" si="10"/>
        <v>4.6153846153846156E-2</v>
      </c>
      <c r="F90" s="9">
        <f t="shared" si="11"/>
        <v>0.1153846153846154</v>
      </c>
      <c r="G90" s="10">
        <f t="shared" si="12"/>
        <v>0.6558410620112749</v>
      </c>
    </row>
    <row r="91" spans="1:7" x14ac:dyDescent="0.25">
      <c r="A91" t="s">
        <v>31</v>
      </c>
      <c r="B91" s="9">
        <f t="shared" si="9"/>
        <v>0.11666666666666668</v>
      </c>
      <c r="C91" s="9">
        <f t="shared" si="9"/>
        <v>6.8085106382978725E-2</v>
      </c>
      <c r="D91" s="9">
        <f t="shared" si="9"/>
        <v>0.16000000000000003</v>
      </c>
      <c r="E91" s="9">
        <f t="shared" si="10"/>
        <v>0.2</v>
      </c>
      <c r="F91" s="9">
        <f t="shared" si="11"/>
        <v>0.1</v>
      </c>
      <c r="G91" s="10">
        <f t="shared" si="12"/>
        <v>0.64475177304964537</v>
      </c>
    </row>
    <row r="92" spans="1:7" x14ac:dyDescent="0.25">
      <c r="A92" t="s">
        <v>33</v>
      </c>
      <c r="B92" s="9">
        <f t="shared" si="9"/>
        <v>0.18888888888888888</v>
      </c>
      <c r="C92" s="9">
        <f t="shared" si="9"/>
        <v>0.10212765957446808</v>
      </c>
      <c r="D92" s="9">
        <f t="shared" si="9"/>
        <v>0.16000000000000003</v>
      </c>
      <c r="E92" s="9">
        <f t="shared" si="10"/>
        <v>5.4545454545454543E-2</v>
      </c>
      <c r="F92" s="9">
        <f t="shared" si="11"/>
        <v>0.1153846153846154</v>
      </c>
      <c r="G92" s="10">
        <f t="shared" si="12"/>
        <v>0.62094661839342691</v>
      </c>
    </row>
    <row r="93" spans="1:7" x14ac:dyDescent="0.25">
      <c r="A93" t="s">
        <v>34</v>
      </c>
      <c r="B93" s="9">
        <f t="shared" si="9"/>
        <v>0.13722222222222222</v>
      </c>
      <c r="C93" s="9">
        <f t="shared" si="9"/>
        <v>0.11063829787234043</v>
      </c>
      <c r="D93" s="9">
        <f t="shared" si="9"/>
        <v>0.12</v>
      </c>
      <c r="E93" s="9">
        <f t="shared" si="10"/>
        <v>0.13333333333333333</v>
      </c>
      <c r="F93" s="9">
        <f t="shared" si="11"/>
        <v>0.1307692307692308</v>
      </c>
      <c r="G93" s="10">
        <f t="shared" si="12"/>
        <v>0.63196308419712688</v>
      </c>
    </row>
    <row r="94" spans="1:7" x14ac:dyDescent="0.25">
      <c r="A94" t="s">
        <v>35</v>
      </c>
      <c r="B94" s="9">
        <f t="shared" si="9"/>
        <v>0.16611111111111113</v>
      </c>
      <c r="C94" s="9">
        <f t="shared" si="9"/>
        <v>0.13617021276595745</v>
      </c>
      <c r="D94" s="9">
        <f t="shared" si="9"/>
        <v>0.2</v>
      </c>
      <c r="E94" s="9">
        <f t="shared" si="10"/>
        <v>9.2307692307692313E-2</v>
      </c>
      <c r="F94" s="9">
        <f t="shared" si="11"/>
        <v>0.19230769230769235</v>
      </c>
      <c r="G94" s="10">
        <f t="shared" si="12"/>
        <v>0.78689670849245319</v>
      </c>
    </row>
    <row r="95" spans="1:7" x14ac:dyDescent="0.25">
      <c r="A95" t="s">
        <v>38</v>
      </c>
      <c r="B95" s="9">
        <f t="shared" si="9"/>
        <v>0.18333333333333335</v>
      </c>
      <c r="C95" s="9">
        <f t="shared" si="9"/>
        <v>0.12340425531914895</v>
      </c>
      <c r="D95" s="9">
        <f t="shared" si="9"/>
        <v>0.16000000000000003</v>
      </c>
      <c r="E95" s="9">
        <f t="shared" si="10"/>
        <v>0.10909090909090909</v>
      </c>
      <c r="F95" s="9">
        <f t="shared" si="11"/>
        <v>0.2</v>
      </c>
      <c r="G95" s="10">
        <f t="shared" si="12"/>
        <v>0.77582849774339135</v>
      </c>
    </row>
    <row r="96" spans="1:7" x14ac:dyDescent="0.25">
      <c r="A96" s="14" t="s">
        <v>39</v>
      </c>
      <c r="B96" s="15">
        <f t="shared" si="9"/>
        <v>0.2</v>
      </c>
      <c r="C96" s="15">
        <f t="shared" si="9"/>
        <v>0.2</v>
      </c>
      <c r="D96" s="15">
        <f t="shared" si="9"/>
        <v>0.12</v>
      </c>
      <c r="E96" s="15">
        <f t="shared" si="10"/>
        <v>0.13333333333333333</v>
      </c>
      <c r="F96" s="15">
        <f t="shared" si="11"/>
        <v>0.14615384615384616</v>
      </c>
      <c r="G96" s="16">
        <f t="shared" si="12"/>
        <v>0.79948717948717951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Roman,Regularna"&amp;12&amp;Kffffff&amp;A</oddHeader>
    <oddFooter>&amp;C&amp;"Times New Roman,Regularna"&amp;12&amp;KffffffStrona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Duże autobusy</vt:lpstr>
      <vt:lpstr>Średnie autobusy</vt:lpstr>
      <vt:lpstr>Duże autobusy SAW</vt:lpstr>
      <vt:lpstr>Średnie autobusy SAW</vt:lpstr>
      <vt:lpstr>Duże autobusy analiza wrażliwoś</vt:lpstr>
      <vt:lpstr>Średnie autobusy analiza wrazli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Patryk Klimek</dc:creator>
  <dc:description/>
  <cp:lastModifiedBy>Patryk Klimek</cp:lastModifiedBy>
  <cp:revision>4</cp:revision>
  <dcterms:created xsi:type="dcterms:W3CDTF">2026-06-04T19:12:40Z</dcterms:created>
  <dcterms:modified xsi:type="dcterms:W3CDTF">2026-06-10T19:01:00Z</dcterms:modified>
  <dc:language>pl-PL</dc:language>
</cp:coreProperties>
</file>