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ste\Downloads\"/>
    </mc:Choice>
  </mc:AlternateContent>
  <xr:revisionPtr revIDLastSave="0" documentId="13_ncr:1_{F7B6CF2B-388F-4410-B130-D259FB8112F5}" xr6:coauthVersionLast="47" xr6:coauthVersionMax="47" xr10:uidLastSave="{00000000-0000-0000-0000-000000000000}"/>
  <bookViews>
    <workbookView xWindow="-110" yWindow="-110" windowWidth="19420" windowHeight="10300" activeTab="3" xr2:uid="{78F6C6CF-C9FD-4C30-A6D3-8F4A203AF3AD}"/>
  </bookViews>
  <sheets>
    <sheet name="Duże autobusy" sheetId="1" r:id="rId1"/>
    <sheet name="Średnie autobusy" sheetId="2" r:id="rId2"/>
    <sheet name="Duże autobusy (2)" sheetId="3" r:id="rId3"/>
    <sheet name="Średnie autobusy (2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18" i="4" l="1"/>
  <c r="G19" i="4"/>
  <c r="G20" i="4"/>
  <c r="G21" i="4"/>
  <c r="G22" i="4"/>
  <c r="G23" i="4"/>
  <c r="G24" i="4"/>
  <c r="G25" i="4"/>
  <c r="G26" i="4"/>
  <c r="G17" i="4"/>
  <c r="E18" i="4"/>
  <c r="E19" i="4"/>
  <c r="E20" i="4"/>
  <c r="E21" i="4"/>
  <c r="E22" i="4"/>
  <c r="E23" i="4"/>
  <c r="E24" i="4"/>
  <c r="E25" i="4"/>
  <c r="E26" i="4"/>
  <c r="E17" i="4"/>
  <c r="C17" i="4"/>
  <c r="D17" i="4"/>
  <c r="F17" i="4"/>
  <c r="C18" i="4"/>
  <c r="D18" i="4"/>
  <c r="F18" i="4"/>
  <c r="C19" i="4"/>
  <c r="D19" i="4"/>
  <c r="F19" i="4"/>
  <c r="C20" i="4"/>
  <c r="D20" i="4"/>
  <c r="F20" i="4"/>
  <c r="C21" i="4"/>
  <c r="D21" i="4"/>
  <c r="F21" i="4"/>
  <c r="C22" i="4"/>
  <c r="D22" i="4"/>
  <c r="F22" i="4"/>
  <c r="C23" i="4"/>
  <c r="D23" i="4"/>
  <c r="F23" i="4"/>
  <c r="C24" i="4"/>
  <c r="D24" i="4"/>
  <c r="F24" i="4"/>
  <c r="C25" i="4"/>
  <c r="D25" i="4"/>
  <c r="F25" i="4"/>
  <c r="C26" i="4"/>
  <c r="D26" i="4"/>
  <c r="F26" i="4"/>
  <c r="B18" i="4"/>
  <c r="B19" i="4"/>
  <c r="B20" i="4"/>
  <c r="B21" i="4"/>
  <c r="B22" i="4"/>
  <c r="B23" i="4"/>
  <c r="B24" i="4"/>
  <c r="B25" i="4"/>
  <c r="B26" i="4"/>
  <c r="B17" i="4"/>
  <c r="G14" i="4"/>
  <c r="E20" i="3"/>
  <c r="E21" i="3"/>
  <c r="E22" i="3"/>
  <c r="E23" i="3"/>
  <c r="E24" i="3"/>
  <c r="E25" i="3"/>
  <c r="E26" i="3"/>
  <c r="E27" i="3"/>
  <c r="E28" i="3"/>
  <c r="E29" i="3"/>
  <c r="E30" i="3"/>
  <c r="E19" i="3"/>
  <c r="C19" i="3"/>
  <c r="D19" i="3"/>
  <c r="F19" i="3"/>
  <c r="C20" i="3"/>
  <c r="D20" i="3"/>
  <c r="F20" i="3"/>
  <c r="C21" i="3"/>
  <c r="D21" i="3"/>
  <c r="F21" i="3"/>
  <c r="C22" i="3"/>
  <c r="D22" i="3"/>
  <c r="F22" i="3"/>
  <c r="C23" i="3"/>
  <c r="D23" i="3"/>
  <c r="F23" i="3"/>
  <c r="C24" i="3"/>
  <c r="D24" i="3"/>
  <c r="F24" i="3"/>
  <c r="C25" i="3"/>
  <c r="D25" i="3"/>
  <c r="F25" i="3"/>
  <c r="C26" i="3"/>
  <c r="D26" i="3"/>
  <c r="F26" i="3"/>
  <c r="C27" i="3"/>
  <c r="D27" i="3"/>
  <c r="F27" i="3"/>
  <c r="C28" i="3"/>
  <c r="D28" i="3"/>
  <c r="F28" i="3"/>
  <c r="C29" i="3"/>
  <c r="D29" i="3"/>
  <c r="F29" i="3"/>
  <c r="C30" i="3"/>
  <c r="D30" i="3"/>
  <c r="F30" i="3"/>
  <c r="B20" i="3"/>
  <c r="B21" i="3"/>
  <c r="B22" i="3"/>
  <c r="B23" i="3"/>
  <c r="B24" i="3"/>
  <c r="B25" i="3"/>
  <c r="B26" i="3"/>
  <c r="B27" i="3"/>
  <c r="B28" i="3"/>
  <c r="B29" i="3"/>
  <c r="B30" i="3"/>
  <c r="G16" i="3"/>
  <c r="E13" i="4"/>
  <c r="C13" i="4"/>
  <c r="B13" i="4"/>
  <c r="E15" i="3"/>
  <c r="C15" i="3"/>
  <c r="B15" i="3"/>
  <c r="D3" i="3"/>
  <c r="D4" i="3"/>
  <c r="D5" i="3"/>
  <c r="D6" i="3"/>
  <c r="D7" i="3"/>
  <c r="D8" i="3"/>
  <c r="D9" i="3"/>
  <c r="D10" i="3"/>
  <c r="D11" i="3"/>
  <c r="D12" i="3"/>
  <c r="D13" i="3"/>
  <c r="D2" i="3"/>
  <c r="D5" i="4"/>
  <c r="D6" i="4"/>
  <c r="D7" i="4"/>
  <c r="D8" i="4"/>
  <c r="D9" i="4"/>
  <c r="D10" i="4"/>
  <c r="D11" i="4"/>
  <c r="D3" i="4"/>
  <c r="D4" i="4"/>
  <c r="D2" i="4"/>
  <c r="F11" i="4"/>
  <c r="F10" i="4"/>
  <c r="F9" i="4"/>
  <c r="F8" i="4"/>
  <c r="F7" i="4"/>
  <c r="F6" i="4"/>
  <c r="F5" i="4"/>
  <c r="F4" i="4"/>
  <c r="F3" i="4"/>
  <c r="F2" i="4"/>
  <c r="F13" i="3"/>
  <c r="F12" i="3"/>
  <c r="F11" i="3"/>
  <c r="F10" i="3"/>
  <c r="F9" i="3"/>
  <c r="F8" i="3"/>
  <c r="F7" i="3"/>
  <c r="F6" i="3"/>
  <c r="F5" i="3"/>
  <c r="F4" i="3"/>
  <c r="F2" i="3"/>
  <c r="D20" i="1"/>
  <c r="F16" i="2"/>
  <c r="F15" i="2"/>
  <c r="F13" i="2"/>
  <c r="F11" i="2"/>
  <c r="F10" i="2"/>
  <c r="F9" i="2"/>
  <c r="F7" i="2"/>
  <c r="F5" i="2"/>
  <c r="F4" i="2"/>
  <c r="F3" i="2"/>
  <c r="F18" i="1"/>
  <c r="F16" i="1"/>
  <c r="F14" i="1"/>
  <c r="F13" i="1"/>
  <c r="F11" i="1"/>
  <c r="F10" i="1"/>
  <c r="F9" i="1"/>
  <c r="F7" i="1"/>
  <c r="F6" i="1"/>
  <c r="F5" i="1"/>
  <c r="F3" i="1"/>
  <c r="D13" i="4" l="1"/>
  <c r="F13" i="4"/>
  <c r="G26" i="3"/>
  <c r="G29" i="3"/>
  <c r="G24" i="3"/>
  <c r="G30" i="3"/>
  <c r="G20" i="3"/>
  <c r="G22" i="3"/>
  <c r="G23" i="3"/>
  <c r="G28" i="3"/>
  <c r="G21" i="3"/>
  <c r="G25" i="3"/>
  <c r="G27" i="3"/>
  <c r="G19" i="3"/>
  <c r="D15" i="3"/>
  <c r="F15" i="3"/>
  <c r="B19" i="3"/>
</calcChain>
</file>

<file path=xl/sharedStrings.xml><?xml version="1.0" encoding="utf-8"?>
<sst xmlns="http://schemas.openxmlformats.org/spreadsheetml/2006/main" count="140" uniqueCount="50">
  <si>
    <t>Model</t>
  </si>
  <si>
    <t>miejsca dla pasażerów</t>
  </si>
  <si>
    <t>udogodnienia dla niepełnosprawnych</t>
  </si>
  <si>
    <t>Solaris</t>
  </si>
  <si>
    <t>Urbino 15 LE electric</t>
  </si>
  <si>
    <t>Urbino 18 CNG</t>
  </si>
  <si>
    <t>Urbino 18</t>
  </si>
  <si>
    <t>Urbino 12</t>
  </si>
  <si>
    <t>Urbino 12 CNG</t>
  </si>
  <si>
    <t>MAN bus</t>
  </si>
  <si>
    <t>Autosan</t>
  </si>
  <si>
    <t>SANCITY 12LFH</t>
  </si>
  <si>
    <t>SANCITY 12LF</t>
  </si>
  <si>
    <t>Mercedes</t>
  </si>
  <si>
    <t>CapaCity L</t>
  </si>
  <si>
    <t>Urbino 10,5 electric</t>
  </si>
  <si>
    <t>Urbino 8,9 LE electric</t>
  </si>
  <si>
    <t>Urbino 8,9 LE</t>
  </si>
  <si>
    <t>MAN Lion's City 10 E</t>
  </si>
  <si>
    <t>SANCITY 9LE</t>
  </si>
  <si>
    <t>SANCITY 10LFE</t>
  </si>
  <si>
    <t>SANCITY 10LF</t>
  </si>
  <si>
    <t>Citaro K</t>
  </si>
  <si>
    <t>Iveco Bus</t>
  </si>
  <si>
    <t>Crossway Pro 10,8</t>
  </si>
  <si>
    <t>moc silnika [KM]</t>
  </si>
  <si>
    <t>MAN Lion's City 12 E</t>
  </si>
  <si>
    <t>MAN Lion's Intercity LE 14</t>
  </si>
  <si>
    <t>MAN Lion's City 12 G</t>
  </si>
  <si>
    <t>Nesobus</t>
  </si>
  <si>
    <t>Nesobus 12</t>
  </si>
  <si>
    <t>prestiż</t>
  </si>
  <si>
    <t>koszt zakupu [mln zł]</t>
  </si>
  <si>
    <t>Crossway 10.8LE</t>
  </si>
  <si>
    <t>niska podłoga, przyklęk</t>
  </si>
  <si>
    <t>niska podłoga, miejsce na wózek, przyklęk</t>
  </si>
  <si>
    <t>niska podłoga, rampa, miejsce na wózek, przyklęk</t>
  </si>
  <si>
    <t>niska podłoga, rampa, miejsce na wózek</t>
  </si>
  <si>
    <t>niska podłoga, rampa, miejsce na wózek, braille/piktogramy</t>
  </si>
  <si>
    <t>niska podłoga, rampa, miejsce na wózek, przyklęk, braille/piktogramy</t>
  </si>
  <si>
    <t>rampa, miejsce na wózek, przyklęk</t>
  </si>
  <si>
    <t>moc silnika [KM] MAX</t>
  </si>
  <si>
    <t>miejsca dla pasażerów MAX</t>
  </si>
  <si>
    <t>udogodnienia dla niepełnosprawnych MAX</t>
  </si>
  <si>
    <t>koszt zakupu [mln zł] MIN</t>
  </si>
  <si>
    <t>prestiż MAX</t>
  </si>
  <si>
    <t>MAX/MIN</t>
  </si>
  <si>
    <t>koszt zakupu</t>
  </si>
  <si>
    <t>SAW</t>
  </si>
  <si>
    <t>Waga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</si>
</sst>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zł&quot;;[Red]\-#,##0.00\ &quot;zł&quot;"/>
    <numFmt numFmtId="167" formatCode="0.000"/>
  </numFmts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8" fontId="0" fillId="0" borderId="0" xfId="0" applyNumberFormat="1"/>
    <xf numFmtId="14" fontId="0" fillId="0" borderId="0" xfId="0" applyNumberForma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1" fontId="0" fillId="0" borderId="0" xfId="0" applyNumberFormat="1"/>
    <xf numFmtId="1" fontId="0" fillId="2" borderId="0" xfId="0" applyNumberFormat="1" applyFill="1"/>
    <xf numFmtId="0" fontId="0" fillId="0" borderId="0" xfId="0" applyFill="1"/>
    <xf numFmtId="167" fontId="0" fillId="0" borderId="0" xfId="0" applyNumberFormat="1"/>
    <xf numFmtId="2" fontId="0" fillId="0" borderId="0" xfId="0" applyNumberFormat="1"/>
    <xf numFmtId="167" fontId="0" fillId="4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F22A7-6802-42EA-9523-249B4C0BB3CA}">
  <dimension ref="A1:I20"/>
  <sheetViews>
    <sheetView topLeftCell="A2" workbookViewId="0">
      <selection activeCell="D20" sqref="D20"/>
    </sheetView>
  </sheetViews>
  <sheetFormatPr defaultRowHeight="14.5" x14ac:dyDescent="0.35"/>
  <cols>
    <col min="1" max="1" width="23.26953125" bestFit="1" customWidth="1"/>
    <col min="2" max="2" width="22.81640625" bestFit="1" customWidth="1"/>
    <col min="3" max="3" width="21.453125" bestFit="1" customWidth="1"/>
    <col min="4" max="4" width="35.26953125" bestFit="1" customWidth="1"/>
    <col min="5" max="5" width="21.26953125" customWidth="1"/>
    <col min="6" max="6" width="13.7265625" bestFit="1" customWidth="1"/>
    <col min="7" max="7" width="13.26953125" customWidth="1"/>
    <col min="9" max="9" width="10.81640625" customWidth="1"/>
  </cols>
  <sheetData>
    <row r="1" spans="1:9" x14ac:dyDescent="0.35">
      <c r="A1" s="6" t="s">
        <v>0</v>
      </c>
      <c r="B1" s="6" t="s">
        <v>25</v>
      </c>
      <c r="C1" s="6" t="s">
        <v>1</v>
      </c>
      <c r="D1" s="6" t="s">
        <v>2</v>
      </c>
      <c r="E1" s="6" t="s">
        <v>32</v>
      </c>
      <c r="F1" s="6" t="s">
        <v>31</v>
      </c>
      <c r="G1" s="1"/>
    </row>
    <row r="2" spans="1:9" x14ac:dyDescent="0.35">
      <c r="A2" s="4" t="s">
        <v>3</v>
      </c>
      <c r="B2" s="5"/>
      <c r="C2" s="5"/>
      <c r="D2" s="5"/>
      <c r="E2" s="5"/>
      <c r="F2" s="5"/>
    </row>
    <row r="3" spans="1:9" x14ac:dyDescent="0.35">
      <c r="A3" t="s">
        <v>4</v>
      </c>
      <c r="B3">
        <v>408</v>
      </c>
      <c r="C3">
        <v>65</v>
      </c>
      <c r="D3" t="s">
        <v>34</v>
      </c>
      <c r="E3">
        <v>2.2000000000000002</v>
      </c>
      <c r="F3" s="7">
        <f>AVERAGE(10,6,5)</f>
        <v>7</v>
      </c>
      <c r="I3" s="2"/>
    </row>
    <row r="4" spans="1:9" x14ac:dyDescent="0.35">
      <c r="A4" t="s">
        <v>5</v>
      </c>
      <c r="B4">
        <v>320</v>
      </c>
      <c r="C4">
        <v>55</v>
      </c>
      <c r="D4" t="s">
        <v>35</v>
      </c>
      <c r="E4">
        <v>2.4</v>
      </c>
      <c r="F4" s="7">
        <v>10</v>
      </c>
    </row>
    <row r="5" spans="1:9" x14ac:dyDescent="0.35">
      <c r="A5" t="s">
        <v>6</v>
      </c>
      <c r="B5">
        <v>310</v>
      </c>
      <c r="C5">
        <v>54</v>
      </c>
      <c r="D5" t="s">
        <v>35</v>
      </c>
      <c r="E5">
        <v>1.8</v>
      </c>
      <c r="F5" s="7">
        <f>AVERAGE(5,4,10)</f>
        <v>6.333333333333333</v>
      </c>
    </row>
    <row r="6" spans="1:9" x14ac:dyDescent="0.35">
      <c r="A6" t="s">
        <v>7</v>
      </c>
      <c r="B6">
        <v>256</v>
      </c>
      <c r="C6">
        <v>16</v>
      </c>
      <c r="D6" t="s">
        <v>35</v>
      </c>
      <c r="E6">
        <v>1</v>
      </c>
      <c r="F6" s="7">
        <f>AVERAGE(8,8,10)</f>
        <v>8.6666666666666661</v>
      </c>
      <c r="I6" s="2"/>
    </row>
    <row r="7" spans="1:9" x14ac:dyDescent="0.35">
      <c r="A7" t="s">
        <v>8</v>
      </c>
      <c r="B7">
        <v>320</v>
      </c>
      <c r="C7">
        <v>40</v>
      </c>
      <c r="D7" t="s">
        <v>35</v>
      </c>
      <c r="E7">
        <v>1.1000000000000001</v>
      </c>
      <c r="F7" s="7">
        <f>AVERAGE(3,1,10)</f>
        <v>4.666666666666667</v>
      </c>
    </row>
    <row r="8" spans="1:9" x14ac:dyDescent="0.35">
      <c r="A8" s="4" t="s">
        <v>9</v>
      </c>
      <c r="B8" s="5"/>
      <c r="C8" s="5"/>
      <c r="D8" s="5"/>
      <c r="E8" s="5"/>
      <c r="F8" s="8"/>
    </row>
    <row r="9" spans="1:9" x14ac:dyDescent="0.35">
      <c r="A9" t="s">
        <v>26</v>
      </c>
      <c r="B9">
        <v>326</v>
      </c>
      <c r="C9">
        <v>44</v>
      </c>
      <c r="D9" t="s">
        <v>36</v>
      </c>
      <c r="E9">
        <v>2.6</v>
      </c>
      <c r="F9" s="7">
        <f>AVERAGE(7,4,8)</f>
        <v>6.333333333333333</v>
      </c>
    </row>
    <row r="10" spans="1:9" x14ac:dyDescent="0.35">
      <c r="A10" t="s">
        <v>27</v>
      </c>
      <c r="B10">
        <v>265</v>
      </c>
      <c r="C10">
        <v>63</v>
      </c>
      <c r="D10" t="s">
        <v>35</v>
      </c>
      <c r="E10">
        <v>1.8</v>
      </c>
      <c r="F10" s="7">
        <f>AVERAGE(9,4,6)</f>
        <v>6.333333333333333</v>
      </c>
    </row>
    <row r="11" spans="1:9" x14ac:dyDescent="0.35">
      <c r="A11" t="s">
        <v>28</v>
      </c>
      <c r="B11">
        <v>280</v>
      </c>
      <c r="C11">
        <v>37</v>
      </c>
      <c r="D11" t="s">
        <v>36</v>
      </c>
      <c r="E11">
        <v>2</v>
      </c>
      <c r="F11" s="7">
        <f>AVERAGE(4,4,1)</f>
        <v>3</v>
      </c>
    </row>
    <row r="12" spans="1:9" x14ac:dyDescent="0.35">
      <c r="A12" s="4" t="s">
        <v>10</v>
      </c>
      <c r="B12" s="5"/>
      <c r="C12" s="5"/>
      <c r="D12" s="5"/>
      <c r="E12" s="5"/>
      <c r="F12" s="8"/>
      <c r="I12" s="3"/>
    </row>
    <row r="13" spans="1:9" x14ac:dyDescent="0.35">
      <c r="A13" t="s">
        <v>11</v>
      </c>
      <c r="B13">
        <v>344</v>
      </c>
      <c r="C13">
        <v>40</v>
      </c>
      <c r="D13" t="s">
        <v>37</v>
      </c>
      <c r="E13">
        <v>3.25</v>
      </c>
      <c r="F13" s="7">
        <f>AVERAGE(10,10,4)</f>
        <v>8</v>
      </c>
    </row>
    <row r="14" spans="1:9" x14ac:dyDescent="0.35">
      <c r="A14" t="s">
        <v>12</v>
      </c>
      <c r="B14">
        <v>277</v>
      </c>
      <c r="C14">
        <v>40</v>
      </c>
      <c r="D14" t="s">
        <v>37</v>
      </c>
      <c r="E14">
        <v>1</v>
      </c>
      <c r="F14" s="7">
        <f>AVERAGE(5,4,3)</f>
        <v>4</v>
      </c>
    </row>
    <row r="15" spans="1:9" x14ac:dyDescent="0.35">
      <c r="A15" s="4" t="s">
        <v>13</v>
      </c>
      <c r="B15" s="5"/>
      <c r="C15" s="5"/>
      <c r="D15" s="5"/>
      <c r="E15" s="5"/>
      <c r="F15" s="8"/>
    </row>
    <row r="16" spans="1:9" x14ac:dyDescent="0.35">
      <c r="A16" t="s">
        <v>14</v>
      </c>
      <c r="B16">
        <v>360</v>
      </c>
      <c r="C16">
        <v>44</v>
      </c>
      <c r="D16" t="s">
        <v>36</v>
      </c>
      <c r="E16">
        <v>2</v>
      </c>
      <c r="F16" s="7">
        <f>AVERAGE(8,9,9)</f>
        <v>8.6666666666666661</v>
      </c>
    </row>
    <row r="17" spans="1:6" x14ac:dyDescent="0.35">
      <c r="A17" s="4" t="s">
        <v>29</v>
      </c>
      <c r="B17" s="5"/>
      <c r="C17" s="5"/>
      <c r="D17" s="5"/>
      <c r="E17" s="5"/>
      <c r="F17" s="8"/>
    </row>
    <row r="18" spans="1:6" x14ac:dyDescent="0.35">
      <c r="A18" t="s">
        <v>30</v>
      </c>
      <c r="B18">
        <v>340</v>
      </c>
      <c r="C18">
        <v>37</v>
      </c>
      <c r="D18" t="s">
        <v>37</v>
      </c>
      <c r="E18">
        <v>2.9</v>
      </c>
      <c r="F18" s="7">
        <f>AVERAGE(10,9,10)</f>
        <v>9.6666666666666661</v>
      </c>
    </row>
    <row r="20" spans="1:6" x14ac:dyDescent="0.35">
      <c r="D20">
        <f>IF(D3="",0, LEN(D3) - LEN(SUBSTITUTE(D3,",",""))+1)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985E-3EE3-41A7-B4A2-294A43F0CA3B}">
  <dimension ref="A1:F16"/>
  <sheetViews>
    <sheetView topLeftCell="A4" workbookViewId="0">
      <selection activeCell="D19" sqref="D19"/>
    </sheetView>
  </sheetViews>
  <sheetFormatPr defaultRowHeight="14.5" x14ac:dyDescent="0.35"/>
  <cols>
    <col min="1" max="1" width="21" customWidth="1"/>
    <col min="2" max="2" width="16" bestFit="1" customWidth="1"/>
    <col min="3" max="3" width="21.7265625" bestFit="1" customWidth="1"/>
    <col min="4" max="4" width="35.1796875" bestFit="1" customWidth="1"/>
    <col min="5" max="5" width="19.81640625" bestFit="1" customWidth="1"/>
    <col min="6" max="6" width="9.453125" bestFit="1" customWidth="1"/>
  </cols>
  <sheetData>
    <row r="1" spans="1:6" x14ac:dyDescent="0.35">
      <c r="A1" s="6" t="s">
        <v>0</v>
      </c>
      <c r="B1" s="6" t="s">
        <v>25</v>
      </c>
      <c r="C1" s="6" t="s">
        <v>1</v>
      </c>
      <c r="D1" s="6" t="s">
        <v>2</v>
      </c>
      <c r="E1" s="6" t="s">
        <v>32</v>
      </c>
      <c r="F1" s="6" t="s">
        <v>31</v>
      </c>
    </row>
    <row r="2" spans="1:6" x14ac:dyDescent="0.35">
      <c r="A2" s="4" t="s">
        <v>3</v>
      </c>
      <c r="B2" s="5"/>
      <c r="C2" s="5"/>
      <c r="D2" s="5"/>
      <c r="E2" s="5"/>
      <c r="F2" s="5"/>
    </row>
    <row r="3" spans="1:6" x14ac:dyDescent="0.35">
      <c r="A3" t="s">
        <v>15</v>
      </c>
      <c r="B3">
        <v>340</v>
      </c>
      <c r="C3">
        <v>33</v>
      </c>
      <c r="D3" t="s">
        <v>35</v>
      </c>
      <c r="E3">
        <v>2.6</v>
      </c>
      <c r="F3" s="7">
        <f>AVERAGE(6,4,2)</f>
        <v>4</v>
      </c>
    </row>
    <row r="4" spans="1:6" x14ac:dyDescent="0.35">
      <c r="A4" t="s">
        <v>16</v>
      </c>
      <c r="B4">
        <v>218</v>
      </c>
      <c r="C4">
        <v>27</v>
      </c>
      <c r="D4" t="s">
        <v>36</v>
      </c>
      <c r="E4">
        <v>2.4</v>
      </c>
      <c r="F4" s="7">
        <f>AVERAGE(6,8,10)</f>
        <v>8</v>
      </c>
    </row>
    <row r="5" spans="1:6" x14ac:dyDescent="0.35">
      <c r="A5" t="s">
        <v>17</v>
      </c>
      <c r="B5">
        <v>250</v>
      </c>
      <c r="C5">
        <v>33</v>
      </c>
      <c r="D5" t="s">
        <v>36</v>
      </c>
      <c r="E5">
        <v>1.1000000000000001</v>
      </c>
      <c r="F5" s="7">
        <f>AVERAGE(10,5,5)</f>
        <v>6.666666666666667</v>
      </c>
    </row>
    <row r="6" spans="1:6" x14ac:dyDescent="0.35">
      <c r="A6" s="4" t="s">
        <v>9</v>
      </c>
      <c r="B6" s="5"/>
      <c r="C6" s="5"/>
      <c r="D6" s="5"/>
      <c r="E6" s="5"/>
      <c r="F6" s="8"/>
    </row>
    <row r="7" spans="1:6" x14ac:dyDescent="0.35">
      <c r="A7" t="s">
        <v>18</v>
      </c>
      <c r="B7">
        <v>326</v>
      </c>
      <c r="C7">
        <v>36</v>
      </c>
      <c r="D7" t="s">
        <v>36</v>
      </c>
      <c r="E7">
        <v>2.6</v>
      </c>
      <c r="F7" s="7">
        <f>AVERAGE(5,5,5)</f>
        <v>5</v>
      </c>
    </row>
    <row r="8" spans="1:6" x14ac:dyDescent="0.35">
      <c r="A8" s="4" t="s">
        <v>10</v>
      </c>
      <c r="B8" s="5"/>
      <c r="C8" s="5"/>
      <c r="D8" s="5"/>
      <c r="E8" s="5"/>
      <c r="F8" s="8"/>
    </row>
    <row r="9" spans="1:6" x14ac:dyDescent="0.35">
      <c r="A9" t="s">
        <v>19</v>
      </c>
      <c r="B9">
        <v>210</v>
      </c>
      <c r="C9">
        <v>16</v>
      </c>
      <c r="D9" t="s">
        <v>38</v>
      </c>
      <c r="E9">
        <v>0.6</v>
      </c>
      <c r="F9" s="7">
        <f>AVERAGE(3,6,4)</f>
        <v>4.333333333333333</v>
      </c>
    </row>
    <row r="10" spans="1:6" x14ac:dyDescent="0.35">
      <c r="A10" t="s">
        <v>20</v>
      </c>
      <c r="B10">
        <v>340</v>
      </c>
      <c r="C10">
        <v>24</v>
      </c>
      <c r="D10" s="9" t="s">
        <v>36</v>
      </c>
      <c r="E10">
        <v>2.2000000000000002</v>
      </c>
      <c r="F10" s="7">
        <f>AVERAGE(5,6,4)</f>
        <v>5</v>
      </c>
    </row>
    <row r="11" spans="1:6" x14ac:dyDescent="0.35">
      <c r="A11" t="s">
        <v>21</v>
      </c>
      <c r="B11">
        <v>247</v>
      </c>
      <c r="C11">
        <v>26</v>
      </c>
      <c r="D11" t="s">
        <v>37</v>
      </c>
      <c r="E11">
        <v>0.9</v>
      </c>
      <c r="F11" s="7">
        <f>AVERAGE(5,7,5)</f>
        <v>5.666666666666667</v>
      </c>
    </row>
    <row r="12" spans="1:6" x14ac:dyDescent="0.35">
      <c r="A12" s="4" t="s">
        <v>13</v>
      </c>
      <c r="B12" s="5"/>
      <c r="C12" s="5"/>
      <c r="D12" s="5"/>
      <c r="E12" s="5"/>
      <c r="F12" s="8"/>
    </row>
    <row r="13" spans="1:6" x14ac:dyDescent="0.35">
      <c r="A13" t="s">
        <v>22</v>
      </c>
      <c r="B13">
        <v>299</v>
      </c>
      <c r="C13">
        <v>32</v>
      </c>
      <c r="D13" t="s">
        <v>39</v>
      </c>
      <c r="E13">
        <v>1.3</v>
      </c>
      <c r="F13" s="7">
        <f>AVERAGE(9,9,7)</f>
        <v>8.3333333333333339</v>
      </c>
    </row>
    <row r="14" spans="1:6" x14ac:dyDescent="0.35">
      <c r="A14" s="4" t="s">
        <v>23</v>
      </c>
      <c r="B14" s="5"/>
      <c r="C14" s="5"/>
      <c r="D14" s="5"/>
      <c r="E14" s="5"/>
      <c r="F14" s="8"/>
    </row>
    <row r="15" spans="1:6" x14ac:dyDescent="0.35">
      <c r="A15" t="s">
        <v>33</v>
      </c>
      <c r="B15">
        <v>330</v>
      </c>
      <c r="C15">
        <v>29</v>
      </c>
      <c r="D15" t="s">
        <v>36</v>
      </c>
      <c r="E15">
        <v>1.1000000000000001</v>
      </c>
      <c r="F15" s="7">
        <f>AVERAGE(9,7,10)</f>
        <v>8.6666666666666661</v>
      </c>
    </row>
    <row r="16" spans="1:6" x14ac:dyDescent="0.35">
      <c r="A16" t="s">
        <v>24</v>
      </c>
      <c r="B16">
        <v>360</v>
      </c>
      <c r="C16">
        <v>47</v>
      </c>
      <c r="D16" s="9" t="s">
        <v>40</v>
      </c>
      <c r="E16">
        <v>0.9</v>
      </c>
      <c r="F16" s="7">
        <f>AVERAGE(8,3,8)</f>
        <v>6.333333333333333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C538-C2CB-4E1F-B5CA-2C4D84AF0445}">
  <dimension ref="A1:I30"/>
  <sheetViews>
    <sheetView topLeftCell="A14" workbookViewId="0">
      <selection activeCell="A19" sqref="A19:A22"/>
    </sheetView>
  </sheetViews>
  <sheetFormatPr defaultRowHeight="14.5" x14ac:dyDescent="0.35"/>
  <cols>
    <col min="1" max="1" width="23.26953125" bestFit="1" customWidth="1"/>
    <col min="2" max="2" width="22.81640625" bestFit="1" customWidth="1"/>
    <col min="3" max="3" width="21.453125" bestFit="1" customWidth="1"/>
    <col min="4" max="4" width="36.81640625" customWidth="1"/>
    <col min="5" max="5" width="23.36328125" customWidth="1"/>
    <col min="6" max="6" width="13.7265625" bestFit="1" customWidth="1"/>
    <col min="7" max="7" width="13.26953125" customWidth="1"/>
    <col min="9" max="9" width="10.81640625" customWidth="1"/>
  </cols>
  <sheetData>
    <row r="1" spans="1:9" x14ac:dyDescent="0.35">
      <c r="A1" s="6" t="s">
        <v>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1"/>
    </row>
    <row r="2" spans="1:9" x14ac:dyDescent="0.35">
      <c r="A2" t="s">
        <v>4</v>
      </c>
      <c r="B2">
        <v>408</v>
      </c>
      <c r="C2">
        <v>65</v>
      </c>
      <c r="D2">
        <f>IF('Duże autobusy'!D3="",0, LEN('Duże autobusy'!D3) - LEN(SUBSTITUTE('Duże autobusy'!D3,",",""))+1)</f>
        <v>2</v>
      </c>
      <c r="E2">
        <v>2.2000000000000002</v>
      </c>
      <c r="F2" s="7">
        <f>AVERAGE(10,6,5)</f>
        <v>7</v>
      </c>
      <c r="I2" s="2"/>
    </row>
    <row r="3" spans="1:9" x14ac:dyDescent="0.35">
      <c r="A3" t="s">
        <v>5</v>
      </c>
      <c r="B3">
        <v>320</v>
      </c>
      <c r="C3">
        <v>55</v>
      </c>
      <c r="D3">
        <f>IF('Duże autobusy'!D4="",0, LEN('Duże autobusy'!D4) - LEN(SUBSTITUTE('Duże autobusy'!D4,",",""))+1)</f>
        <v>3</v>
      </c>
      <c r="E3">
        <v>2.4</v>
      </c>
      <c r="F3" s="7">
        <v>10</v>
      </c>
    </row>
    <row r="4" spans="1:9" x14ac:dyDescent="0.35">
      <c r="A4" t="s">
        <v>6</v>
      </c>
      <c r="B4">
        <v>310</v>
      </c>
      <c r="C4">
        <v>54</v>
      </c>
      <c r="D4">
        <f>IF('Duże autobusy'!D5="",0, LEN('Duże autobusy'!D5) - LEN(SUBSTITUTE('Duże autobusy'!D5,",",""))+1)</f>
        <v>3</v>
      </c>
      <c r="E4">
        <v>1.8</v>
      </c>
      <c r="F4" s="7">
        <f>AVERAGE(5,4,10)</f>
        <v>6.333333333333333</v>
      </c>
    </row>
    <row r="5" spans="1:9" x14ac:dyDescent="0.35">
      <c r="A5" t="s">
        <v>7</v>
      </c>
      <c r="B5">
        <v>256</v>
      </c>
      <c r="C5">
        <v>16</v>
      </c>
      <c r="D5">
        <f>IF('Duże autobusy'!D6="",0, LEN('Duże autobusy'!D6) - LEN(SUBSTITUTE('Duże autobusy'!D6,",",""))+1)</f>
        <v>3</v>
      </c>
      <c r="E5">
        <v>1</v>
      </c>
      <c r="F5" s="7">
        <f>AVERAGE(8,8,10)</f>
        <v>8.6666666666666661</v>
      </c>
      <c r="I5" s="2"/>
    </row>
    <row r="6" spans="1:9" x14ac:dyDescent="0.35">
      <c r="A6" t="s">
        <v>8</v>
      </c>
      <c r="B6">
        <v>320</v>
      </c>
      <c r="C6">
        <v>40</v>
      </c>
      <c r="D6">
        <f>IF('Duże autobusy'!D7="",0, LEN('Duże autobusy'!D7) - LEN(SUBSTITUTE('Duże autobusy'!D7,",",""))+1)</f>
        <v>3</v>
      </c>
      <c r="E6">
        <v>1.1000000000000001</v>
      </c>
      <c r="F6" s="7">
        <f>AVERAGE(3,1,10)</f>
        <v>4.666666666666667</v>
      </c>
    </row>
    <row r="7" spans="1:9" x14ac:dyDescent="0.35">
      <c r="A7" t="s">
        <v>26</v>
      </c>
      <c r="B7">
        <v>326</v>
      </c>
      <c r="C7">
        <v>44</v>
      </c>
      <c r="D7">
        <f>IF('Duże autobusy'!D9="",0, LEN('Duże autobusy'!D9) - LEN(SUBSTITUTE('Duże autobusy'!D9,",",""))+1)</f>
        <v>4</v>
      </c>
      <c r="E7">
        <v>2.6</v>
      </c>
      <c r="F7" s="7">
        <f>AVERAGE(7,4,8)</f>
        <v>6.333333333333333</v>
      </c>
    </row>
    <row r="8" spans="1:9" x14ac:dyDescent="0.35">
      <c r="A8" t="s">
        <v>27</v>
      </c>
      <c r="B8">
        <v>265</v>
      </c>
      <c r="C8">
        <v>63</v>
      </c>
      <c r="D8">
        <f>IF('Duże autobusy'!D10="",0, LEN('Duże autobusy'!D10) - LEN(SUBSTITUTE('Duże autobusy'!D10,",",""))+1)</f>
        <v>3</v>
      </c>
      <c r="E8">
        <v>1.8</v>
      </c>
      <c r="F8" s="7">
        <f>AVERAGE(9,4,6)</f>
        <v>6.333333333333333</v>
      </c>
    </row>
    <row r="9" spans="1:9" x14ac:dyDescent="0.35">
      <c r="A9" t="s">
        <v>28</v>
      </c>
      <c r="B9">
        <v>280</v>
      </c>
      <c r="C9">
        <v>37</v>
      </c>
      <c r="D9">
        <f>IF('Duże autobusy'!D11="",0, LEN('Duże autobusy'!D11) - LEN(SUBSTITUTE('Duże autobusy'!D11,",",""))+1)</f>
        <v>4</v>
      </c>
      <c r="E9">
        <v>2</v>
      </c>
      <c r="F9" s="7">
        <f>AVERAGE(4,4,1)</f>
        <v>3</v>
      </c>
    </row>
    <row r="10" spans="1:9" x14ac:dyDescent="0.35">
      <c r="A10" t="s">
        <v>11</v>
      </c>
      <c r="B10">
        <v>344</v>
      </c>
      <c r="C10">
        <v>40</v>
      </c>
      <c r="D10">
        <f>IF('Duże autobusy'!D13="",0, LEN('Duże autobusy'!D13) - LEN(SUBSTITUTE('Duże autobusy'!D13,",",""))+1)</f>
        <v>3</v>
      </c>
      <c r="E10">
        <v>3.25</v>
      </c>
      <c r="F10" s="7">
        <f>AVERAGE(10,10,4)</f>
        <v>8</v>
      </c>
    </row>
    <row r="11" spans="1:9" x14ac:dyDescent="0.35">
      <c r="A11" t="s">
        <v>12</v>
      </c>
      <c r="B11">
        <v>277</v>
      </c>
      <c r="C11">
        <v>40</v>
      </c>
      <c r="D11">
        <f>IF('Duże autobusy'!D14="",0, LEN('Duże autobusy'!D14) - LEN(SUBSTITUTE('Duże autobusy'!D14,",",""))+1)</f>
        <v>3</v>
      </c>
      <c r="E11">
        <v>1</v>
      </c>
      <c r="F11" s="7">
        <f>AVERAGE(5,4,3)</f>
        <v>4</v>
      </c>
    </row>
    <row r="12" spans="1:9" x14ac:dyDescent="0.35">
      <c r="A12" t="s">
        <v>14</v>
      </c>
      <c r="B12">
        <v>360</v>
      </c>
      <c r="C12">
        <v>44</v>
      </c>
      <c r="D12">
        <f>IF('Duże autobusy'!D16="",0, LEN('Duże autobusy'!D16) - LEN(SUBSTITUTE('Duże autobusy'!D16,",",""))+1)</f>
        <v>4</v>
      </c>
      <c r="E12">
        <v>2</v>
      </c>
      <c r="F12" s="7">
        <f>AVERAGE(8,9,9)</f>
        <v>8.6666666666666661</v>
      </c>
    </row>
    <row r="13" spans="1:9" x14ac:dyDescent="0.35">
      <c r="A13" t="s">
        <v>30</v>
      </c>
      <c r="B13">
        <v>340</v>
      </c>
      <c r="C13">
        <v>37</v>
      </c>
      <c r="D13">
        <f>IF('Duże autobusy'!D18="",0, LEN('Duże autobusy'!D18) - LEN(SUBSTITUTE('Duże autobusy'!D18,",",""))+1)</f>
        <v>3</v>
      </c>
      <c r="E13">
        <v>2.9</v>
      </c>
      <c r="F13" s="7">
        <f>AVERAGE(10,9,10)</f>
        <v>9.6666666666666661</v>
      </c>
    </row>
    <row r="15" spans="1:9" x14ac:dyDescent="0.35">
      <c r="A15" t="s">
        <v>46</v>
      </c>
      <c r="B15">
        <f>MAX(B2:B13)</f>
        <v>408</v>
      </c>
      <c r="C15">
        <f>MAX(C2:C13)</f>
        <v>65</v>
      </c>
      <c r="D15">
        <f>MAX(D2:D13)</f>
        <v>4</v>
      </c>
      <c r="E15">
        <f>MIN(E2:E13)</f>
        <v>1</v>
      </c>
      <c r="F15">
        <f>MAX(F2:F13)</f>
        <v>10</v>
      </c>
    </row>
    <row r="16" spans="1:9" x14ac:dyDescent="0.35">
      <c r="A16" t="s">
        <v>49</v>
      </c>
      <c r="B16">
        <v>0.26</v>
      </c>
      <c r="C16">
        <v>0.26</v>
      </c>
      <c r="D16">
        <v>0.11</v>
      </c>
      <c r="E16">
        <v>0.11</v>
      </c>
      <c r="F16">
        <v>0.26</v>
      </c>
      <c r="G16">
        <f>SUM(B16:F16)</f>
        <v>1</v>
      </c>
    </row>
    <row r="18" spans="1:7" x14ac:dyDescent="0.35">
      <c r="A18" s="6" t="s">
        <v>0</v>
      </c>
      <c r="B18" s="6" t="s">
        <v>25</v>
      </c>
      <c r="C18" s="6" t="s">
        <v>1</v>
      </c>
      <c r="D18" s="6" t="s">
        <v>2</v>
      </c>
      <c r="E18" s="6" t="s">
        <v>47</v>
      </c>
      <c r="F18" s="6" t="s">
        <v>31</v>
      </c>
      <c r="G18" s="6" t="s">
        <v>48</v>
      </c>
    </row>
    <row r="19" spans="1:7" x14ac:dyDescent="0.35">
      <c r="A19" t="s">
        <v>4</v>
      </c>
      <c r="B19" s="11">
        <f>(B2/B$15)*B$16</f>
        <v>0.26</v>
      </c>
      <c r="C19" s="11">
        <f t="shared" ref="C19:F19" si="0">(C2/C$15)*C$16</f>
        <v>0.26</v>
      </c>
      <c r="D19" s="11">
        <f t="shared" si="0"/>
        <v>5.5E-2</v>
      </c>
      <c r="E19" s="11">
        <f>($E$15/E2)*$E$16</f>
        <v>4.9999999999999996E-2</v>
      </c>
      <c r="F19" s="11">
        <f t="shared" si="0"/>
        <v>0.182</v>
      </c>
      <c r="G19" s="10">
        <f>SUM(B19:F19)</f>
        <v>0.80700000000000016</v>
      </c>
    </row>
    <row r="20" spans="1:7" x14ac:dyDescent="0.35">
      <c r="A20" s="13" t="s">
        <v>5</v>
      </c>
      <c r="B20" s="14">
        <f t="shared" ref="B20:F30" si="1">(B3/B$15)*B$16</f>
        <v>0.20392156862745098</v>
      </c>
      <c r="C20" s="14">
        <f t="shared" si="1"/>
        <v>0.22</v>
      </c>
      <c r="D20" s="14">
        <f t="shared" si="1"/>
        <v>8.2500000000000004E-2</v>
      </c>
      <c r="E20" s="14">
        <f t="shared" ref="E20:E30" si="2">($E$15/E3)*$E$16</f>
        <v>4.5833333333333337E-2</v>
      </c>
      <c r="F20" s="14">
        <f t="shared" si="1"/>
        <v>0.26</v>
      </c>
      <c r="G20" s="12">
        <f t="shared" ref="G20:G30" si="3">SUM(B20:F20)</f>
        <v>0.81225490196078431</v>
      </c>
    </row>
    <row r="21" spans="1:7" x14ac:dyDescent="0.35">
      <c r="A21" t="s">
        <v>6</v>
      </c>
      <c r="B21" s="11">
        <f t="shared" si="1"/>
        <v>0.19754901960784313</v>
      </c>
      <c r="C21" s="11">
        <f t="shared" si="1"/>
        <v>0.21600000000000003</v>
      </c>
      <c r="D21" s="11">
        <f t="shared" si="1"/>
        <v>8.2500000000000004E-2</v>
      </c>
      <c r="E21" s="11">
        <f t="shared" si="2"/>
        <v>6.1111111111111116E-2</v>
      </c>
      <c r="F21" s="11">
        <f t="shared" si="1"/>
        <v>0.16466666666666666</v>
      </c>
      <c r="G21" s="10">
        <f t="shared" si="3"/>
        <v>0.72182679738562094</v>
      </c>
    </row>
    <row r="22" spans="1:7" x14ac:dyDescent="0.35">
      <c r="A22" t="s">
        <v>7</v>
      </c>
      <c r="B22" s="11">
        <f t="shared" si="1"/>
        <v>0.16313725490196079</v>
      </c>
      <c r="C22" s="11">
        <f t="shared" si="1"/>
        <v>6.4000000000000001E-2</v>
      </c>
      <c r="D22" s="11">
        <f t="shared" si="1"/>
        <v>8.2500000000000004E-2</v>
      </c>
      <c r="E22" s="11">
        <f t="shared" si="2"/>
        <v>0.11</v>
      </c>
      <c r="F22" s="11">
        <f t="shared" si="1"/>
        <v>0.22533333333333333</v>
      </c>
      <c r="G22" s="10">
        <f t="shared" si="3"/>
        <v>0.64497058823529407</v>
      </c>
    </row>
    <row r="23" spans="1:7" x14ac:dyDescent="0.35">
      <c r="A23" t="s">
        <v>8</v>
      </c>
      <c r="B23" s="11">
        <f t="shared" si="1"/>
        <v>0.20392156862745098</v>
      </c>
      <c r="C23" s="11">
        <f t="shared" si="1"/>
        <v>0.16</v>
      </c>
      <c r="D23" s="11">
        <f t="shared" si="1"/>
        <v>8.2500000000000004E-2</v>
      </c>
      <c r="E23" s="11">
        <f t="shared" si="2"/>
        <v>9.9999999999999992E-2</v>
      </c>
      <c r="F23" s="11">
        <f t="shared" si="1"/>
        <v>0.12133333333333333</v>
      </c>
      <c r="G23" s="10">
        <f t="shared" si="3"/>
        <v>0.66775490196078424</v>
      </c>
    </row>
    <row r="24" spans="1:7" x14ac:dyDescent="0.35">
      <c r="A24" t="s">
        <v>26</v>
      </c>
      <c r="B24" s="11">
        <f t="shared" si="1"/>
        <v>0.2077450980392157</v>
      </c>
      <c r="C24" s="11">
        <f t="shared" si="1"/>
        <v>0.17600000000000002</v>
      </c>
      <c r="D24" s="11">
        <f t="shared" si="1"/>
        <v>0.11</v>
      </c>
      <c r="E24" s="11">
        <f t="shared" si="2"/>
        <v>4.2307692307692303E-2</v>
      </c>
      <c r="F24" s="11">
        <f t="shared" si="1"/>
        <v>0.16466666666666666</v>
      </c>
      <c r="G24" s="10">
        <f t="shared" si="3"/>
        <v>0.70071945701357463</v>
      </c>
    </row>
    <row r="25" spans="1:7" x14ac:dyDescent="0.35">
      <c r="A25" t="s">
        <v>27</v>
      </c>
      <c r="B25" s="11">
        <f t="shared" si="1"/>
        <v>0.16887254901960785</v>
      </c>
      <c r="C25" s="11">
        <f t="shared" si="1"/>
        <v>0.252</v>
      </c>
      <c r="D25" s="11">
        <f t="shared" si="1"/>
        <v>8.2500000000000004E-2</v>
      </c>
      <c r="E25" s="11">
        <f t="shared" si="2"/>
        <v>6.1111111111111116E-2</v>
      </c>
      <c r="F25" s="11">
        <f t="shared" si="1"/>
        <v>0.16466666666666666</v>
      </c>
      <c r="G25" s="10">
        <f t="shared" si="3"/>
        <v>0.72915032679738556</v>
      </c>
    </row>
    <row r="26" spans="1:7" x14ac:dyDescent="0.35">
      <c r="A26" t="s">
        <v>28</v>
      </c>
      <c r="B26" s="11">
        <f t="shared" si="1"/>
        <v>0.17843137254901961</v>
      </c>
      <c r="C26" s="11">
        <f t="shared" si="1"/>
        <v>0.14799999999999999</v>
      </c>
      <c r="D26" s="11">
        <f t="shared" si="1"/>
        <v>0.11</v>
      </c>
      <c r="E26" s="11">
        <f t="shared" si="2"/>
        <v>5.5E-2</v>
      </c>
      <c r="F26" s="11">
        <f t="shared" si="1"/>
        <v>7.8E-2</v>
      </c>
      <c r="G26" s="10">
        <f t="shared" si="3"/>
        <v>0.56943137254901954</v>
      </c>
    </row>
    <row r="27" spans="1:7" x14ac:dyDescent="0.35">
      <c r="A27" t="s">
        <v>11</v>
      </c>
      <c r="B27" s="11">
        <f t="shared" si="1"/>
        <v>0.21921568627450982</v>
      </c>
      <c r="C27" s="11">
        <f t="shared" si="1"/>
        <v>0.16</v>
      </c>
      <c r="D27" s="11">
        <f t="shared" si="1"/>
        <v>8.2500000000000004E-2</v>
      </c>
      <c r="E27" s="11">
        <f t="shared" si="2"/>
        <v>3.3846153846153845E-2</v>
      </c>
      <c r="F27" s="11">
        <f t="shared" si="1"/>
        <v>0.20800000000000002</v>
      </c>
      <c r="G27" s="10">
        <f t="shared" si="3"/>
        <v>0.70356184012066381</v>
      </c>
    </row>
    <row r="28" spans="1:7" x14ac:dyDescent="0.35">
      <c r="A28" t="s">
        <v>12</v>
      </c>
      <c r="B28" s="11">
        <f t="shared" si="1"/>
        <v>0.17651960784313728</v>
      </c>
      <c r="C28" s="11">
        <f t="shared" si="1"/>
        <v>0.16</v>
      </c>
      <c r="D28" s="11">
        <f t="shared" si="1"/>
        <v>8.2500000000000004E-2</v>
      </c>
      <c r="E28" s="11">
        <f t="shared" si="2"/>
        <v>0.11</v>
      </c>
      <c r="F28" s="11">
        <f t="shared" si="1"/>
        <v>0.10400000000000001</v>
      </c>
      <c r="G28" s="10">
        <f t="shared" si="3"/>
        <v>0.63301960784313727</v>
      </c>
    </row>
    <row r="29" spans="1:7" x14ac:dyDescent="0.35">
      <c r="A29" t="s">
        <v>14</v>
      </c>
      <c r="B29" s="11">
        <f t="shared" si="1"/>
        <v>0.22941176470588234</v>
      </c>
      <c r="C29" s="11">
        <f t="shared" si="1"/>
        <v>0.17600000000000002</v>
      </c>
      <c r="D29" s="11">
        <f t="shared" si="1"/>
        <v>0.11</v>
      </c>
      <c r="E29" s="11">
        <f t="shared" si="2"/>
        <v>5.5E-2</v>
      </c>
      <c r="F29" s="11">
        <f t="shared" si="1"/>
        <v>0.22533333333333333</v>
      </c>
      <c r="G29" s="10">
        <f t="shared" si="3"/>
        <v>0.79574509803921578</v>
      </c>
    </row>
    <row r="30" spans="1:7" x14ac:dyDescent="0.35">
      <c r="A30" t="s">
        <v>30</v>
      </c>
      <c r="B30" s="11">
        <f t="shared" si="1"/>
        <v>0.21666666666666667</v>
      </c>
      <c r="C30" s="11">
        <f t="shared" si="1"/>
        <v>0.14799999999999999</v>
      </c>
      <c r="D30" s="11">
        <f t="shared" si="1"/>
        <v>8.2500000000000004E-2</v>
      </c>
      <c r="E30" s="11">
        <f t="shared" si="2"/>
        <v>3.793103448275862E-2</v>
      </c>
      <c r="F30" s="11">
        <f t="shared" si="1"/>
        <v>0.2513333333333333</v>
      </c>
      <c r="G30" s="10">
        <f t="shared" si="3"/>
        <v>0.73643103448275871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02CE-5066-45BF-BEA2-646F8D396124}">
  <dimension ref="A1:G26"/>
  <sheetViews>
    <sheetView tabSelected="1" topLeftCell="A16" workbookViewId="0">
      <selection activeCell="H23" sqref="H23"/>
    </sheetView>
  </sheetViews>
  <sheetFormatPr defaultRowHeight="14.5" x14ac:dyDescent="0.35"/>
  <cols>
    <col min="1" max="1" width="21" customWidth="1"/>
    <col min="2" max="2" width="18.81640625" bestFit="1" customWidth="1"/>
    <col min="3" max="3" width="23.90625" bestFit="1" customWidth="1"/>
    <col min="4" max="4" width="36.6328125" bestFit="1" customWidth="1"/>
    <col min="5" max="5" width="22.1796875" bestFit="1" customWidth="1"/>
    <col min="6" max="6" width="10.453125" bestFit="1" customWidth="1"/>
  </cols>
  <sheetData>
    <row r="1" spans="1:7" x14ac:dyDescent="0.35">
      <c r="A1" s="6" t="s">
        <v>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</row>
    <row r="2" spans="1:7" x14ac:dyDescent="0.35">
      <c r="A2" t="s">
        <v>15</v>
      </c>
      <c r="B2">
        <v>340</v>
      </c>
      <c r="C2">
        <v>33</v>
      </c>
      <c r="D2">
        <f>IF('Średnie autobusy'!D3="",0, LEN('Średnie autobusy'!D3) - LEN(SUBSTITUTE('Średnie autobusy'!D3,",",""))+1)</f>
        <v>3</v>
      </c>
      <c r="E2">
        <v>2.6</v>
      </c>
      <c r="F2" s="7">
        <f>AVERAGE(6,4,2)</f>
        <v>4</v>
      </c>
    </row>
    <row r="3" spans="1:7" x14ac:dyDescent="0.35">
      <c r="A3" t="s">
        <v>16</v>
      </c>
      <c r="B3">
        <v>218</v>
      </c>
      <c r="C3">
        <v>27</v>
      </c>
      <c r="D3">
        <f>IF('Średnie autobusy'!D4="",0, LEN('Średnie autobusy'!D4) - LEN(SUBSTITUTE('Średnie autobusy'!D4,",",""))+1)</f>
        <v>4</v>
      </c>
      <c r="E3">
        <v>2.4</v>
      </c>
      <c r="F3" s="7">
        <f>AVERAGE(6,8,10)</f>
        <v>8</v>
      </c>
    </row>
    <row r="4" spans="1:7" x14ac:dyDescent="0.35">
      <c r="A4" t="s">
        <v>17</v>
      </c>
      <c r="B4">
        <v>250</v>
      </c>
      <c r="C4">
        <v>33</v>
      </c>
      <c r="D4">
        <f>IF('Średnie autobusy'!D5="",0, LEN('Średnie autobusy'!D5) - LEN(SUBSTITUTE('Średnie autobusy'!D5,",",""))+1)</f>
        <v>4</v>
      </c>
      <c r="E4">
        <v>1.1000000000000001</v>
      </c>
      <c r="F4" s="7">
        <f>AVERAGE(10,5,5)</f>
        <v>6.666666666666667</v>
      </c>
    </row>
    <row r="5" spans="1:7" x14ac:dyDescent="0.35">
      <c r="A5" t="s">
        <v>18</v>
      </c>
      <c r="B5">
        <v>326</v>
      </c>
      <c r="C5">
        <v>36</v>
      </c>
      <c r="D5">
        <f>IF('Średnie autobusy'!D7="",0, LEN('Średnie autobusy'!D7) - LEN(SUBSTITUTE('Średnie autobusy'!D7,",",""))+1)</f>
        <v>4</v>
      </c>
      <c r="E5">
        <v>2.6</v>
      </c>
      <c r="F5" s="7">
        <f>AVERAGE(5,5,5)</f>
        <v>5</v>
      </c>
    </row>
    <row r="6" spans="1:7" x14ac:dyDescent="0.35">
      <c r="A6" t="s">
        <v>19</v>
      </c>
      <c r="B6">
        <v>210</v>
      </c>
      <c r="C6">
        <v>16</v>
      </c>
      <c r="D6">
        <f>IF('Średnie autobusy'!D9="",0, LEN('Średnie autobusy'!D9) - LEN(SUBSTITUTE('Średnie autobusy'!D9,",",""))+1)</f>
        <v>4</v>
      </c>
      <c r="E6">
        <v>0.6</v>
      </c>
      <c r="F6" s="7">
        <f>AVERAGE(3,6,4)</f>
        <v>4.333333333333333</v>
      </c>
    </row>
    <row r="7" spans="1:7" x14ac:dyDescent="0.35">
      <c r="A7" t="s">
        <v>20</v>
      </c>
      <c r="B7">
        <v>340</v>
      </c>
      <c r="C7">
        <v>24</v>
      </c>
      <c r="D7">
        <f>IF('Średnie autobusy'!D10="",0, LEN('Średnie autobusy'!D10) - LEN(SUBSTITUTE('Średnie autobusy'!D10,",",""))+1)</f>
        <v>4</v>
      </c>
      <c r="E7">
        <v>2.2000000000000002</v>
      </c>
      <c r="F7" s="7">
        <f>AVERAGE(5,6,4)</f>
        <v>5</v>
      </c>
    </row>
    <row r="8" spans="1:7" x14ac:dyDescent="0.35">
      <c r="A8" t="s">
        <v>21</v>
      </c>
      <c r="B8">
        <v>247</v>
      </c>
      <c r="C8">
        <v>26</v>
      </c>
      <c r="D8">
        <f>IF('Średnie autobusy'!D11="",0, LEN('Średnie autobusy'!D11) - LEN(SUBSTITUTE('Średnie autobusy'!D11,",",""))+1)</f>
        <v>3</v>
      </c>
      <c r="E8">
        <v>0.9</v>
      </c>
      <c r="F8" s="7">
        <f>AVERAGE(5,7,5)</f>
        <v>5.666666666666667</v>
      </c>
    </row>
    <row r="9" spans="1:7" x14ac:dyDescent="0.35">
      <c r="A9" t="s">
        <v>22</v>
      </c>
      <c r="B9">
        <v>299</v>
      </c>
      <c r="C9">
        <v>32</v>
      </c>
      <c r="D9">
        <f>IF('Średnie autobusy'!D13="",0, LEN('Średnie autobusy'!D13) - LEN(SUBSTITUTE('Średnie autobusy'!D13,",",""))+1)</f>
        <v>5</v>
      </c>
      <c r="E9">
        <v>1.3</v>
      </c>
      <c r="F9" s="7">
        <f>AVERAGE(9,9,7)</f>
        <v>8.3333333333333339</v>
      </c>
    </row>
    <row r="10" spans="1:7" x14ac:dyDescent="0.35">
      <c r="A10" t="s">
        <v>33</v>
      </c>
      <c r="B10">
        <v>330</v>
      </c>
      <c r="C10">
        <v>29</v>
      </c>
      <c r="D10">
        <f>IF('Średnie autobusy'!D15="",0, LEN('Średnie autobusy'!D15) - LEN(SUBSTITUTE('Średnie autobusy'!D15,",",""))+1)</f>
        <v>4</v>
      </c>
      <c r="E10">
        <v>1.1000000000000001</v>
      </c>
      <c r="F10" s="7">
        <f>AVERAGE(9,7,10)</f>
        <v>8.6666666666666661</v>
      </c>
    </row>
    <row r="11" spans="1:7" x14ac:dyDescent="0.35">
      <c r="A11" t="s">
        <v>24</v>
      </c>
      <c r="B11">
        <v>360</v>
      </c>
      <c r="C11">
        <v>47</v>
      </c>
      <c r="D11">
        <f>IF('Średnie autobusy'!D16="",0, LEN('Średnie autobusy'!D16) - LEN(SUBSTITUTE('Średnie autobusy'!D16,",",""))+1)</f>
        <v>3</v>
      </c>
      <c r="E11">
        <v>0.9</v>
      </c>
      <c r="F11" s="7">
        <f>AVERAGE(8,3,8)</f>
        <v>6.333333333333333</v>
      </c>
    </row>
    <row r="13" spans="1:7" x14ac:dyDescent="0.35">
      <c r="A13" t="s">
        <v>46</v>
      </c>
      <c r="B13">
        <f>MAX(B2:B11)</f>
        <v>360</v>
      </c>
      <c r="C13">
        <f>MAX(C2:C11)</f>
        <v>47</v>
      </c>
      <c r="D13">
        <f>MAX(D2:D11)</f>
        <v>5</v>
      </c>
      <c r="E13">
        <f>MIN(E2:E11)</f>
        <v>0.6</v>
      </c>
      <c r="F13" s="7">
        <f>MAX(F2:F11)</f>
        <v>8.6666666666666661</v>
      </c>
    </row>
    <row r="14" spans="1:7" x14ac:dyDescent="0.35">
      <c r="A14" t="s">
        <v>49</v>
      </c>
      <c r="B14">
        <v>0.26</v>
      </c>
      <c r="C14">
        <v>0.26</v>
      </c>
      <c r="D14">
        <v>0.11</v>
      </c>
      <c r="E14">
        <v>0.11</v>
      </c>
      <c r="F14">
        <v>0.26</v>
      </c>
      <c r="G14">
        <f>SUM(B14:F14)</f>
        <v>1</v>
      </c>
    </row>
    <row r="16" spans="1:7" x14ac:dyDescent="0.35">
      <c r="A16" s="6" t="s">
        <v>0</v>
      </c>
      <c r="B16" s="6" t="s">
        <v>25</v>
      </c>
      <c r="C16" s="6" t="s">
        <v>1</v>
      </c>
      <c r="D16" s="6" t="s">
        <v>2</v>
      </c>
      <c r="E16" s="6" t="s">
        <v>47</v>
      </c>
      <c r="F16" s="6" t="s">
        <v>31</v>
      </c>
      <c r="G16" s="6" t="s">
        <v>48</v>
      </c>
    </row>
    <row r="17" spans="1:7" x14ac:dyDescent="0.35">
      <c r="A17" t="s">
        <v>15</v>
      </c>
      <c r="B17" s="11">
        <f>(B2/B$13)*B$14</f>
        <v>0.24555555555555555</v>
      </c>
      <c r="C17" s="11">
        <f t="shared" ref="C17:F17" si="0">(C2/C$13)*C$14</f>
        <v>0.18255319148936172</v>
      </c>
      <c r="D17" s="11">
        <f t="shared" si="0"/>
        <v>6.6000000000000003E-2</v>
      </c>
      <c r="E17" s="11">
        <f>($E$13/E2)*$E$14</f>
        <v>2.5384615384615384E-2</v>
      </c>
      <c r="F17" s="11">
        <f t="shared" si="0"/>
        <v>0.12000000000000001</v>
      </c>
      <c r="G17" s="10">
        <f>SUM(B17:F17)</f>
        <v>0.6394933624295327</v>
      </c>
    </row>
    <row r="18" spans="1:7" x14ac:dyDescent="0.35">
      <c r="A18" t="s">
        <v>16</v>
      </c>
      <c r="B18" s="11">
        <f t="shared" ref="B18:F26" si="1">(B3/B$13)*B$14</f>
        <v>0.15744444444444444</v>
      </c>
      <c r="C18" s="11">
        <f t="shared" si="1"/>
        <v>0.14936170212765959</v>
      </c>
      <c r="D18" s="11">
        <f t="shared" si="1"/>
        <v>8.8000000000000009E-2</v>
      </c>
      <c r="E18" s="11">
        <f t="shared" ref="E18:E26" si="2">($E$13/E3)*$E$14</f>
        <v>2.75E-2</v>
      </c>
      <c r="F18" s="11">
        <f t="shared" si="1"/>
        <v>0.24000000000000002</v>
      </c>
      <c r="G18" s="10">
        <f t="shared" ref="G18:G26" si="3">SUM(B18:F18)</f>
        <v>0.66230614657210407</v>
      </c>
    </row>
    <row r="19" spans="1:7" x14ac:dyDescent="0.35">
      <c r="A19" t="s">
        <v>17</v>
      </c>
      <c r="B19" s="11">
        <f t="shared" si="1"/>
        <v>0.18055555555555555</v>
      </c>
      <c r="C19" s="11">
        <f t="shared" si="1"/>
        <v>0.18255319148936172</v>
      </c>
      <c r="D19" s="11">
        <f t="shared" si="1"/>
        <v>8.8000000000000009E-2</v>
      </c>
      <c r="E19" s="11">
        <f t="shared" si="2"/>
        <v>0.06</v>
      </c>
      <c r="F19" s="11">
        <f t="shared" si="1"/>
        <v>0.2</v>
      </c>
      <c r="G19" s="10">
        <f t="shared" si="3"/>
        <v>0.71110874704491733</v>
      </c>
    </row>
    <row r="20" spans="1:7" x14ac:dyDescent="0.35">
      <c r="A20" t="s">
        <v>18</v>
      </c>
      <c r="B20" s="11">
        <f t="shared" si="1"/>
        <v>0.23544444444444446</v>
      </c>
      <c r="C20" s="11">
        <f t="shared" si="1"/>
        <v>0.19914893617021276</v>
      </c>
      <c r="D20" s="11">
        <f t="shared" si="1"/>
        <v>8.8000000000000009E-2</v>
      </c>
      <c r="E20" s="11">
        <f t="shared" si="2"/>
        <v>2.5384615384615384E-2</v>
      </c>
      <c r="F20" s="11">
        <f t="shared" si="1"/>
        <v>0.15000000000000002</v>
      </c>
      <c r="G20" s="10">
        <f t="shared" si="3"/>
        <v>0.69797799599927257</v>
      </c>
    </row>
    <row r="21" spans="1:7" x14ac:dyDescent="0.35">
      <c r="A21" t="s">
        <v>19</v>
      </c>
      <c r="B21" s="11">
        <f t="shared" si="1"/>
        <v>0.15166666666666667</v>
      </c>
      <c r="C21" s="11">
        <f t="shared" si="1"/>
        <v>8.851063829787234E-2</v>
      </c>
      <c r="D21" s="11">
        <f t="shared" si="1"/>
        <v>8.8000000000000009E-2</v>
      </c>
      <c r="E21" s="11">
        <f t="shared" si="2"/>
        <v>0.11</v>
      </c>
      <c r="F21" s="11">
        <f t="shared" si="1"/>
        <v>0.13</v>
      </c>
      <c r="G21" s="10">
        <f t="shared" si="3"/>
        <v>0.568177304964539</v>
      </c>
    </row>
    <row r="22" spans="1:7" x14ac:dyDescent="0.35">
      <c r="A22" t="s">
        <v>20</v>
      </c>
      <c r="B22" s="11">
        <f t="shared" si="1"/>
        <v>0.24555555555555555</v>
      </c>
      <c r="C22" s="11">
        <f t="shared" si="1"/>
        <v>0.1327659574468085</v>
      </c>
      <c r="D22" s="11">
        <f t="shared" si="1"/>
        <v>8.8000000000000009E-2</v>
      </c>
      <c r="E22" s="11">
        <f t="shared" si="2"/>
        <v>0.03</v>
      </c>
      <c r="F22" s="11">
        <f t="shared" si="1"/>
        <v>0.15000000000000002</v>
      </c>
      <c r="G22" s="10">
        <f t="shared" si="3"/>
        <v>0.64632151300236407</v>
      </c>
    </row>
    <row r="23" spans="1:7" x14ac:dyDescent="0.35">
      <c r="A23" t="s">
        <v>21</v>
      </c>
      <c r="B23" s="11">
        <f t="shared" si="1"/>
        <v>0.1783888888888889</v>
      </c>
      <c r="C23" s="11">
        <f t="shared" si="1"/>
        <v>0.14382978723404255</v>
      </c>
      <c r="D23" s="11">
        <f t="shared" si="1"/>
        <v>6.6000000000000003E-2</v>
      </c>
      <c r="E23" s="11">
        <f t="shared" si="2"/>
        <v>7.3333333333333334E-2</v>
      </c>
      <c r="F23" s="11">
        <f t="shared" si="1"/>
        <v>0.17000000000000004</v>
      </c>
      <c r="G23" s="10">
        <f t="shared" si="3"/>
        <v>0.63155200945626477</v>
      </c>
    </row>
    <row r="24" spans="1:7" x14ac:dyDescent="0.35">
      <c r="A24" t="s">
        <v>22</v>
      </c>
      <c r="B24" s="11">
        <f t="shared" si="1"/>
        <v>0.21594444444444447</v>
      </c>
      <c r="C24" s="11">
        <f t="shared" si="1"/>
        <v>0.17702127659574468</v>
      </c>
      <c r="D24" s="11">
        <f t="shared" si="1"/>
        <v>0.11</v>
      </c>
      <c r="E24" s="11">
        <f t="shared" si="2"/>
        <v>5.0769230769230768E-2</v>
      </c>
      <c r="F24" s="11">
        <f t="shared" si="1"/>
        <v>0.25000000000000006</v>
      </c>
      <c r="G24" s="10">
        <f t="shared" si="3"/>
        <v>0.8037349518094199</v>
      </c>
    </row>
    <row r="25" spans="1:7" x14ac:dyDescent="0.35">
      <c r="A25" t="s">
        <v>33</v>
      </c>
      <c r="B25" s="11">
        <f t="shared" si="1"/>
        <v>0.23833333333333334</v>
      </c>
      <c r="C25" s="11">
        <f t="shared" si="1"/>
        <v>0.16042553191489362</v>
      </c>
      <c r="D25" s="11">
        <f t="shared" si="1"/>
        <v>8.8000000000000009E-2</v>
      </c>
      <c r="E25" s="11">
        <f t="shared" si="2"/>
        <v>0.06</v>
      </c>
      <c r="F25" s="11">
        <f t="shared" si="1"/>
        <v>0.26</v>
      </c>
      <c r="G25" s="10">
        <f t="shared" si="3"/>
        <v>0.80675886524822693</v>
      </c>
    </row>
    <row r="26" spans="1:7" x14ac:dyDescent="0.35">
      <c r="A26" s="13" t="s">
        <v>24</v>
      </c>
      <c r="B26" s="14">
        <f t="shared" si="1"/>
        <v>0.26</v>
      </c>
      <c r="C26" s="14">
        <f t="shared" si="1"/>
        <v>0.26</v>
      </c>
      <c r="D26" s="14">
        <f t="shared" si="1"/>
        <v>6.6000000000000003E-2</v>
      </c>
      <c r="E26" s="14">
        <f t="shared" si="2"/>
        <v>7.3333333333333334E-2</v>
      </c>
      <c r="F26" s="14">
        <f t="shared" si="1"/>
        <v>0.19000000000000003</v>
      </c>
      <c r="G26" s="12">
        <f t="shared" si="3"/>
        <v>0.8493333333333335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Duże autobusy</vt:lpstr>
      <vt:lpstr>Średnie autobusy</vt:lpstr>
      <vt:lpstr>Duże autobusy (2)</vt:lpstr>
      <vt:lpstr>Średnie autobusy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Patryk Klimek</dc:creator>
  <cp:lastModifiedBy>Patryk Klimek</cp:lastModifiedBy>
  <dcterms:created xsi:type="dcterms:W3CDTF">2026-06-04T19:12:40Z</dcterms:created>
  <dcterms:modified xsi:type="dcterms:W3CDTF">2026-06-10T09:49:06Z</dcterms:modified>
</cp:coreProperties>
</file>