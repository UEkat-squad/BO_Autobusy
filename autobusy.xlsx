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_rels/pivotCacheDefinition2.xml.rels" ContentType="application/vnd.openxmlformats-package.relationships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Duże autobusy" sheetId="1" state="visible" r:id="rId3"/>
    <sheet name="Średnie autobusy" sheetId="2" state="visible" r:id="rId4"/>
    <sheet name="Duże autobusy SAW" sheetId="3" state="visible" r:id="rId5"/>
    <sheet name="Duże autobusy analiza wrażliwoś" sheetId="4" state="visible" r:id="rId6"/>
    <sheet name="Średnie autobusy SAW" sheetId="5" state="visible" r:id="rId7"/>
    <sheet name="Średnie autobusy analiza wrazli" sheetId="6" state="visible" r:id="rId8"/>
  </sheets>
  <calcPr iterateCount="100" refMode="A1" iterate="false" iterateDelta="0.0001"/>
  <pivotCaches>
    <pivotCache cacheId="1" r:id="rId10"/>
    <pivotCache cacheId="2" r:id="rId11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<sst xmlns="http://schemas.openxmlformats.org/spreadsheetml/2006/main" count="408" uniqueCount="61">
  <si>
    <t xml:space="preserve">Model</t>
  </si>
  <si>
    <t xml:space="preserve">moc silnika [KM]</t>
  </si>
  <si>
    <t xml:space="preserve">miejsca dla pasażerów</t>
  </si>
  <si>
    <t xml:space="preserve">udogodnienia dla niepełnosprawnych</t>
  </si>
  <si>
    <t xml:space="preserve">koszt zakupu [mln zł]</t>
  </si>
  <si>
    <t xml:space="preserve">prestiż</t>
  </si>
  <si>
    <t xml:space="preserve">Solaris</t>
  </si>
  <si>
    <t xml:space="preserve">Urbino 15 LE electric</t>
  </si>
  <si>
    <t xml:space="preserve">niska podłoga, przyklęk</t>
  </si>
  <si>
    <t xml:space="preserve">Urbino 18 CNG</t>
  </si>
  <si>
    <t xml:space="preserve">niska podłoga, miejsce na wózek, przyklęk</t>
  </si>
  <si>
    <t xml:space="preserve">Urbino 18</t>
  </si>
  <si>
    <t xml:space="preserve">Urbino 12</t>
  </si>
  <si>
    <t xml:space="preserve">Urbino 12 CNG</t>
  </si>
  <si>
    <t xml:space="preserve">MAN bus</t>
  </si>
  <si>
    <t xml:space="preserve">MAN Lion's City 12 E</t>
  </si>
  <si>
    <t xml:space="preserve">niska podłoga, rampa, miejsce na wózek, przyklęk</t>
  </si>
  <si>
    <t xml:space="preserve">MAN Lion's Intercity LE 14</t>
  </si>
  <si>
    <t xml:space="preserve">MAN Lion's City 12 G</t>
  </si>
  <si>
    <t xml:space="preserve">Autosan</t>
  </si>
  <si>
    <t xml:space="preserve">SANCITY 12LFH</t>
  </si>
  <si>
    <t xml:space="preserve">niska podłoga, rampa, miejsce na wózek</t>
  </si>
  <si>
    <t xml:space="preserve">SANCITY 12LF</t>
  </si>
  <si>
    <t xml:space="preserve">Mercedes</t>
  </si>
  <si>
    <t xml:space="preserve">CapaCity L</t>
  </si>
  <si>
    <t xml:space="preserve">Nesobus</t>
  </si>
  <si>
    <t xml:space="preserve">Nesobus 12</t>
  </si>
  <si>
    <t xml:space="preserve">Urbino 10,5 electric</t>
  </si>
  <si>
    <t xml:space="preserve">Urbino 8,9 LE electric</t>
  </si>
  <si>
    <t xml:space="preserve">Urbino 8,9 LE</t>
  </si>
  <si>
    <t xml:space="preserve">MAN Lion's City 10 E</t>
  </si>
  <si>
    <t xml:space="preserve">SANCITY 9LE</t>
  </si>
  <si>
    <t xml:space="preserve">niska podłoga, rampa, miejsce na wózek, braille/piktogramy</t>
  </si>
  <si>
    <t xml:space="preserve">SANCITY 10LFE</t>
  </si>
  <si>
    <t xml:space="preserve">SANCITY 10LF</t>
  </si>
  <si>
    <t xml:space="preserve">Citaro K</t>
  </si>
  <si>
    <t xml:space="preserve">niska podłoga, rampa, miejsce na wózek, przyklęk, braille/piktogramy</t>
  </si>
  <si>
    <t xml:space="preserve">Iveco Bus</t>
  </si>
  <si>
    <t xml:space="preserve">Crossway 10.8LE</t>
  </si>
  <si>
    <t xml:space="preserve">Crossway Pro 10,8</t>
  </si>
  <si>
    <t xml:space="preserve">rampa, miejsce na wózek, przyklęk</t>
  </si>
  <si>
    <t xml:space="preserve">moc silnika [KM] MAX</t>
  </si>
  <si>
    <t xml:space="preserve">miejsca dla pasażerów MAX</t>
  </si>
  <si>
    <t xml:space="preserve">udogodnienia dla niepełnosprawnych MAX</t>
  </si>
  <si>
    <t xml:space="preserve">koszt zakupu [mln zł] MIN</t>
  </si>
  <si>
    <t xml:space="preserve">prestiż MAX</t>
  </si>
  <si>
    <t xml:space="preserve">MAX/MIN</t>
  </si>
  <si>
    <t xml:space="preserve">Waga</t>
  </si>
  <si>
    <t xml:space="preserve">koszt zakupu</t>
  </si>
  <si>
    <t xml:space="preserve">SAW</t>
  </si>
  <si>
    <t xml:space="preserve">Dane</t>
  </si>
  <si>
    <t xml:space="preserve">moc silnika</t>
  </si>
  <si>
    <t xml:space="preserve">miejsca pasażerów</t>
  </si>
  <si>
    <t xml:space="preserve">udogodnienia niepełnosprawnych</t>
  </si>
  <si>
    <t xml:space="preserve">koszty zakupu</t>
  </si>
  <si>
    <t xml:space="preserve">prestiż </t>
  </si>
  <si>
    <t xml:space="preserve">wartość SAW</t>
  </si>
  <si>
    <t xml:space="preserve">Razem Wynik</t>
  </si>
  <si>
    <t xml:space="preserve">Scenariusz oszczędny</t>
  </si>
  <si>
    <t xml:space="preserve">Scenariusz techniczny</t>
  </si>
  <si>
    <t xml:space="preserve">Scenariusz neutralny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</si>
</sst>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#,##0.00&quot; zł&quot;;[RED]\-#,##0.00&quot; zł&quot;"/>
    <numFmt numFmtId="167" formatCode="yyyy\-mm\-dd"/>
    <numFmt numFmtId="168" formatCode="0.00"/>
    <numFmt numFmtId="169" formatCode="0.000"/>
  </numFmts>
  <fonts count="6">
    <font>
      <sz val="11"/>
      <color theme="1"/>
      <name val="Aptos Narrow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238"/>
    </font>
    <font>
      <b val="true"/>
      <sz val="11"/>
      <color theme="1"/>
      <name val="Aptos Narrow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0" tint="-0.25"/>
        <bgColor rgb="FFD9D9D9"/>
      </patternFill>
    </fill>
    <fill>
      <patternFill patternType="solid">
        <fgColor theme="0" tint="-0.15"/>
        <bgColor rgb="FFBFBFBF"/>
      </patternFill>
    </fill>
    <fill>
      <patternFill patternType="solid">
        <fgColor theme="9" tint="0.5999"/>
        <bgColor rgb="FFD9D9D9"/>
      </patternFill>
    </fill>
    <fill>
      <patternFill patternType="solid">
        <fgColor rgb="FF00A933"/>
        <bgColor rgb="FF008000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0" fillId="0" borderId="10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1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2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0" fillId="0" borderId="14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4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5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6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7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8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4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Kategoria tabeli przestawnej" xfId="20"/>
    <cellStyle name="Narożnik tabeli przestawnej" xfId="21"/>
    <cellStyle name="Pole tabeli przestawnej" xfId="22"/>
    <cellStyle name="Tytuł tabeli przestawnej" xfId="23"/>
    <cellStyle name="Wartość tabeli przestawnej" xfId="24"/>
    <cellStyle name="Wynik tabeli przestawnej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2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2" createdVersion="3">
  <cacheSource type="worksheet">
    <worksheetSource ref="A18:G30" sheet="Duże autobusy SAW"/>
  </cacheSource>
  <cacheFields count="7">
    <cacheField name="Model" numFmtId="0">
      <sharedItems count="12">
        <s v="CapaCity L"/>
        <s v="MAN Lion's City 12 E"/>
        <s v="MAN Lion's City 12 G"/>
        <s v="MAN Lion's Intercity LE 14"/>
        <s v="Nesobus 12"/>
        <s v="SANCITY 12LF"/>
        <s v="SANCITY 12LFH"/>
        <s v="Urbino 12"/>
        <s v="Urbino 12 CNG"/>
        <s v="Urbino 15 LE electric"/>
        <s v="Urbino 18"/>
        <s v="Urbino 18 CNG"/>
      </sharedItems>
    </cacheField>
    <cacheField name="moc silnika [KM]" numFmtId="0">
      <sharedItems containsSemiMixedTypes="0" containsString="0" containsNumber="1" minValue="0.163137254901961" maxValue="0.26" count="11">
        <n v="0.163137254901961"/>
        <n v="0.168872549019608"/>
        <n v="0.176519607843137"/>
        <n v="0.17843137254902"/>
        <n v="0.197549019607843"/>
        <n v="0.203921568627451"/>
        <n v="0.207745098039216"/>
        <n v="0.216666666666667"/>
        <n v="0.21921568627451"/>
        <n v="0.229411764705882"/>
        <n v="0.26"/>
      </sharedItems>
    </cacheField>
    <cacheField name="miejsca dla pasażerów" numFmtId="0">
      <sharedItems containsSemiMixedTypes="0" containsString="0" containsNumber="1" minValue="0.064" maxValue="0.26" count="8">
        <n v="0.064"/>
        <n v="0.148"/>
        <n v="0.16"/>
        <n v="0.176"/>
        <n v="0.216"/>
        <n v="0.22"/>
        <n v="0.252"/>
        <n v="0.26"/>
      </sharedItems>
    </cacheField>
    <cacheField name="udogodnienia dla niepełnosprawnych" numFmtId="0">
      <sharedItems containsSemiMixedTypes="0" containsString="0" containsNumber="1" minValue="0.055" maxValue="0.11" count="3">
        <n v="0.055"/>
        <n v="0.0825"/>
        <n v="0.11"/>
      </sharedItems>
    </cacheField>
    <cacheField name="koszt zakupu" numFmtId="0">
      <sharedItems containsSemiMixedTypes="0" containsString="0" containsNumber="1" minValue="0.0338461538461538" maxValue="0.11" count="9">
        <n v="0.0338461538461538"/>
        <n v="0.0379310344827586"/>
        <n v="0.0423076923076923"/>
        <n v="0.0458333333333333"/>
        <n v="0.05"/>
        <n v="0.055"/>
        <n v="0.0611111111111111"/>
        <n v="0.1"/>
        <n v="0.11"/>
      </sharedItems>
    </cacheField>
    <cacheField name="prestiż" numFmtId="0">
      <sharedItems containsSemiMixedTypes="0" containsString="0" containsNumber="1" minValue="0.078" maxValue="0.26" count="9">
        <n v="0.078"/>
        <n v="0.104"/>
        <n v="0.121333333333333"/>
        <n v="0.164666666666667"/>
        <n v="0.182"/>
        <n v="0.208"/>
        <n v="0.225333333333333"/>
        <n v="0.251333333333333"/>
        <n v="0.26"/>
      </sharedItems>
    </cacheField>
    <cacheField name="SAW" numFmtId="0">
      <sharedItems containsSemiMixedTypes="0" containsString="0" containsNumber="1" minValue="0.56943137254902" maxValue="0.812254901960784" count="12">
        <n v="0.56943137254902"/>
        <n v="0.633019607843137"/>
        <n v="0.644970588235294"/>
        <n v="0.667754901960784"/>
        <n v="0.700719457013575"/>
        <n v="0.703561840120664"/>
        <n v="0.721826797385621"/>
        <n v="0.729150326797386"/>
        <n v="0.736431034482759"/>
        <n v="0.795745098039216"/>
        <n v="0.807"/>
        <n v="0.812254901960784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10" createdVersion="3">
  <cacheSource type="worksheet">
    <worksheetSource ref="A16:G26" sheet="Średnie autobusy SAW"/>
  </cacheSource>
  <cacheFields count="7">
    <cacheField name="Model" numFmtId="0">
      <sharedItems count="10">
        <s v="Citaro K"/>
        <s v="Crossway 10.8LE"/>
        <s v="Crossway Pro 10,8"/>
        <s v="MAN Lion's City 10 E"/>
        <s v="SANCITY 10LF"/>
        <s v="SANCITY 10LFE"/>
        <s v="SANCITY 9LE"/>
        <s v="Urbino 10,5 electric"/>
        <s v="Urbino 8,9 LE"/>
        <s v="Urbino 8,9 LE electric"/>
      </sharedItems>
    </cacheField>
    <cacheField name="moc silnika [KM]" numFmtId="0">
      <sharedItems containsSemiMixedTypes="0" containsString="0" containsNumber="1" minValue="0.151666666666667" maxValue="0.26" count="9">
        <n v="0.151666666666667"/>
        <n v="0.157444444444444"/>
        <n v="0.178388888888889"/>
        <n v="0.180555555555556"/>
        <n v="0.215944444444444"/>
        <n v="0.235444444444444"/>
        <n v="0.238333333333333"/>
        <n v="0.245555555555556"/>
        <n v="0.26"/>
      </sharedItems>
    </cacheField>
    <cacheField name="miejsca dla pasażerów" numFmtId="0">
      <sharedItems containsSemiMixedTypes="0" containsString="0" containsNumber="1" minValue="0.0885106382978723" maxValue="0.26" count="9">
        <n v="0.0885106382978723"/>
        <n v="0.132765957446809"/>
        <n v="0.143829787234043"/>
        <n v="0.14936170212766"/>
        <n v="0.160425531914894"/>
        <n v="0.177021276595745"/>
        <n v="0.182553191489362"/>
        <n v="0.199148936170213"/>
        <n v="0.26"/>
      </sharedItems>
    </cacheField>
    <cacheField name="udogodnienia dla niepełnosprawnych" numFmtId="0">
      <sharedItems containsSemiMixedTypes="0" containsString="0" containsNumber="1" minValue="0.066" maxValue="0.11" count="3">
        <n v="0.066"/>
        <n v="0.088"/>
        <n v="0.11"/>
      </sharedItems>
    </cacheField>
    <cacheField name="koszt zakupu" numFmtId="0">
      <sharedItems containsSemiMixedTypes="0" containsString="0" containsNumber="1" minValue="0.0253846153846154" maxValue="0.11" count="7">
        <n v="0.0253846153846154"/>
        <n v="0.0275"/>
        <n v="0.03"/>
        <n v="0.0507692307692308"/>
        <n v="0.06"/>
        <n v="0.0733333333333333"/>
        <n v="0.11"/>
      </sharedItems>
    </cacheField>
    <cacheField name="prestiż" numFmtId="0">
      <sharedItems containsSemiMixedTypes="0" containsString="0" containsNumber="1" minValue="0.12" maxValue="0.26" count="9">
        <n v="0.12"/>
        <n v="0.13"/>
        <n v="0.15"/>
        <n v="0.17"/>
        <n v="0.19"/>
        <n v="0.2"/>
        <n v="0.24"/>
        <n v="0.25"/>
        <n v="0.26"/>
      </sharedItems>
    </cacheField>
    <cacheField name="SAW" numFmtId="0">
      <sharedItems containsSemiMixedTypes="0" containsString="0" containsNumber="1" minValue="0.568177304964539" maxValue="0.849333333333333" count="10">
        <n v="0.568177304964539"/>
        <n v="0.631552009456265"/>
        <n v="0.639493362429533"/>
        <n v="0.646321513002364"/>
        <n v="0.662306146572104"/>
        <n v="0.697977995999273"/>
        <n v="0.711108747044917"/>
        <n v="0.80373495180942"/>
        <n v="0.806758865248227"/>
        <n v="0.849333333333333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x v="9"/>
    <x v="10"/>
    <x v="7"/>
    <x v="0"/>
    <x v="4"/>
    <x v="4"/>
    <x v="10"/>
  </r>
  <r>
    <x v="11"/>
    <x v="5"/>
    <x v="5"/>
    <x v="1"/>
    <x v="3"/>
    <x v="8"/>
    <x v="11"/>
  </r>
  <r>
    <x v="10"/>
    <x v="4"/>
    <x v="4"/>
    <x v="1"/>
    <x v="6"/>
    <x v="3"/>
    <x v="6"/>
  </r>
  <r>
    <x v="7"/>
    <x v="0"/>
    <x v="0"/>
    <x v="1"/>
    <x v="8"/>
    <x v="6"/>
    <x v="2"/>
  </r>
  <r>
    <x v="8"/>
    <x v="5"/>
    <x v="2"/>
    <x v="1"/>
    <x v="7"/>
    <x v="2"/>
    <x v="3"/>
  </r>
  <r>
    <x v="1"/>
    <x v="6"/>
    <x v="3"/>
    <x v="2"/>
    <x v="2"/>
    <x v="3"/>
    <x v="4"/>
  </r>
  <r>
    <x v="3"/>
    <x v="1"/>
    <x v="6"/>
    <x v="1"/>
    <x v="6"/>
    <x v="3"/>
    <x v="7"/>
  </r>
  <r>
    <x v="2"/>
    <x v="3"/>
    <x v="1"/>
    <x v="2"/>
    <x v="5"/>
    <x v="0"/>
    <x v="0"/>
  </r>
  <r>
    <x v="6"/>
    <x v="8"/>
    <x v="2"/>
    <x v="1"/>
    <x v="0"/>
    <x v="5"/>
    <x v="5"/>
  </r>
  <r>
    <x v="5"/>
    <x v="2"/>
    <x v="2"/>
    <x v="1"/>
    <x v="8"/>
    <x v="1"/>
    <x v="1"/>
  </r>
  <r>
    <x v="0"/>
    <x v="9"/>
    <x v="3"/>
    <x v="2"/>
    <x v="5"/>
    <x v="6"/>
    <x v="9"/>
  </r>
  <r>
    <x v="4"/>
    <x v="7"/>
    <x v="1"/>
    <x v="1"/>
    <x v="1"/>
    <x v="7"/>
    <x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">
  <r>
    <x v="7"/>
    <x v="7"/>
    <x v="6"/>
    <x v="0"/>
    <x v="0"/>
    <x v="0"/>
    <x v="2"/>
  </r>
  <r>
    <x v="9"/>
    <x v="1"/>
    <x v="3"/>
    <x v="1"/>
    <x v="1"/>
    <x v="6"/>
    <x v="4"/>
  </r>
  <r>
    <x v="8"/>
    <x v="3"/>
    <x v="6"/>
    <x v="1"/>
    <x v="4"/>
    <x v="5"/>
    <x v="6"/>
  </r>
  <r>
    <x v="3"/>
    <x v="5"/>
    <x v="7"/>
    <x v="1"/>
    <x v="0"/>
    <x v="2"/>
    <x v="5"/>
  </r>
  <r>
    <x v="6"/>
    <x v="0"/>
    <x v="0"/>
    <x v="1"/>
    <x v="6"/>
    <x v="1"/>
    <x v="0"/>
  </r>
  <r>
    <x v="5"/>
    <x v="7"/>
    <x v="1"/>
    <x v="1"/>
    <x v="2"/>
    <x v="2"/>
    <x v="3"/>
  </r>
  <r>
    <x v="4"/>
    <x v="2"/>
    <x v="2"/>
    <x v="0"/>
    <x v="5"/>
    <x v="3"/>
    <x v="1"/>
  </r>
  <r>
    <x v="0"/>
    <x v="4"/>
    <x v="5"/>
    <x v="2"/>
    <x v="3"/>
    <x v="7"/>
    <x v="7"/>
  </r>
  <r>
    <x v="1"/>
    <x v="6"/>
    <x v="4"/>
    <x v="1"/>
    <x v="4"/>
    <x v="8"/>
    <x v="8"/>
  </r>
  <r>
    <x v="2"/>
    <x v="8"/>
    <x v="8"/>
    <x v="0"/>
    <x v="5"/>
    <x v="4"/>
    <x v="9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3:G47" firstHeaderRow="1" firstDataRow="2" firstDataCol="1"/>
  <pivotFields count="7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colFields count="1">
    <field x="-2"/>
  </colFields>
  <dataFields count="6">
    <dataField name="moc silnika" fld="1" subtotal="sum" numFmtId="168"/>
    <dataField name="miejsca pasażerów" fld="2" subtotal="sum" numFmtId="168"/>
    <dataField name="udogodnienia niepełnosprawnych" fld="3" subtotal="sum" numFmtId="168"/>
    <dataField name="koszty zakupu" fld="4" subtotal="sum" numFmtId="168"/>
    <dataField name="prestiż " fld="5" subtotal="sum" numFmtId="168"/>
    <dataField name="wartość SAW" fld="6" subtotal="sum" numFmtId="169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Tabela przestawna1" cacheId="2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29:G41" firstHeaderRow="1" firstDataRow="2" firstDataCol="1"/>
  <pivotFields count="7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colFields count="1">
    <field x="-2"/>
  </colFields>
  <dataFields count="6">
    <dataField name="moc silnika" fld="1" subtotal="sum" numFmtId="168"/>
    <dataField name="miejsca pasażerów" fld="2" subtotal="sum" numFmtId="168"/>
    <dataField name="udogodnienia niepełnosprawnych" fld="3" subtotal="sum" numFmtId="168"/>
    <dataField name="koszty zakupu" fld="4" subtotal="sum" numFmtId="168"/>
    <dataField name="prestiż " fld="5" subtotal="sum" numFmtId="168"/>
    <dataField name="wartość SAW" fld="6" subtotal="sum" numFmtId="169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Motyw pakietu Office">
  <a:themeElements>
    <a:clrScheme name="Pakiet 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D20" activeCellId="1" sqref="A32:G32 D20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23.27"/>
    <col collapsed="false" customWidth="true" hidden="false" outlineLevel="0" max="2" min="2" style="1" width="22.82"/>
    <col collapsed="false" customWidth="true" hidden="false" outlineLevel="0" max="3" min="3" style="1" width="21.45"/>
    <col collapsed="false" customWidth="true" hidden="false" outlineLevel="0" max="4" min="4" style="1" width="35.27"/>
    <col collapsed="false" customWidth="true" hidden="false" outlineLevel="0" max="5" min="5" style="1" width="21.27"/>
    <col collapsed="false" customWidth="true" hidden="false" outlineLevel="0" max="6" min="6" style="1" width="13.73"/>
    <col collapsed="false" customWidth="true" hidden="false" outlineLevel="0" max="7" min="7" style="1" width="13.27"/>
    <col collapsed="false" customWidth="true" hidden="false" outlineLevel="0" max="9" min="9" style="1" width="10.82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</row>
    <row r="2" customFormat="false" ht="14.25" hidden="false" customHeight="false" outlineLevel="0" collapsed="false">
      <c r="A2" s="4" t="s">
        <v>6</v>
      </c>
      <c r="B2" s="5"/>
      <c r="C2" s="5"/>
      <c r="D2" s="5"/>
      <c r="E2" s="5"/>
      <c r="F2" s="5"/>
    </row>
    <row r="3" customFormat="false" ht="14.25" hidden="false" customHeight="false" outlineLevel="0" collapsed="false">
      <c r="A3" s="1" t="s">
        <v>7</v>
      </c>
      <c r="B3" s="1" t="n">
        <v>408</v>
      </c>
      <c r="C3" s="1" t="n">
        <v>65</v>
      </c>
      <c r="D3" s="1" t="s">
        <v>8</v>
      </c>
      <c r="E3" s="1" t="n">
        <v>2.2</v>
      </c>
      <c r="F3" s="6" t="n">
        <f aca="false">AVERAGE(10,6,5)</f>
        <v>7</v>
      </c>
      <c r="I3" s="7"/>
    </row>
    <row r="4" customFormat="false" ht="14.25" hidden="false" customHeight="false" outlineLevel="0" collapsed="false">
      <c r="A4" s="1" t="s">
        <v>9</v>
      </c>
      <c r="B4" s="1" t="n">
        <v>320</v>
      </c>
      <c r="C4" s="1" t="n">
        <v>55</v>
      </c>
      <c r="D4" s="1" t="s">
        <v>10</v>
      </c>
      <c r="E4" s="1" t="n">
        <v>2.4</v>
      </c>
      <c r="F4" s="6" t="n">
        <v>10</v>
      </c>
    </row>
    <row r="5" customFormat="false" ht="14.25" hidden="false" customHeight="false" outlineLevel="0" collapsed="false">
      <c r="A5" s="1" t="s">
        <v>11</v>
      </c>
      <c r="B5" s="1" t="n">
        <v>310</v>
      </c>
      <c r="C5" s="1" t="n">
        <v>54</v>
      </c>
      <c r="D5" s="1" t="s">
        <v>10</v>
      </c>
      <c r="E5" s="1" t="n">
        <v>1.8</v>
      </c>
      <c r="F5" s="6" t="n">
        <f aca="false">AVERAGE(5,4,10)</f>
        <v>6.33333333333333</v>
      </c>
    </row>
    <row r="6" customFormat="false" ht="14.25" hidden="false" customHeight="false" outlineLevel="0" collapsed="false">
      <c r="A6" s="1" t="s">
        <v>12</v>
      </c>
      <c r="B6" s="1" t="n">
        <v>256</v>
      </c>
      <c r="C6" s="1" t="n">
        <v>16</v>
      </c>
      <c r="D6" s="1" t="s">
        <v>10</v>
      </c>
      <c r="E6" s="1" t="n">
        <v>1</v>
      </c>
      <c r="F6" s="6" t="n">
        <f aca="false">AVERAGE(8,8,10)</f>
        <v>8.66666666666667</v>
      </c>
      <c r="I6" s="7"/>
    </row>
    <row r="7" customFormat="false" ht="14.25" hidden="false" customHeight="false" outlineLevel="0" collapsed="false">
      <c r="A7" s="1" t="s">
        <v>13</v>
      </c>
      <c r="B7" s="1" t="n">
        <v>320</v>
      </c>
      <c r="C7" s="1" t="n">
        <v>40</v>
      </c>
      <c r="D7" s="1" t="s">
        <v>10</v>
      </c>
      <c r="E7" s="1" t="n">
        <v>1.1</v>
      </c>
      <c r="F7" s="6" t="n">
        <f aca="false">AVERAGE(3,1,10)</f>
        <v>4.66666666666667</v>
      </c>
    </row>
    <row r="8" customFormat="false" ht="14.25" hidden="false" customHeight="false" outlineLevel="0" collapsed="false">
      <c r="A8" s="4" t="s">
        <v>14</v>
      </c>
      <c r="B8" s="5"/>
      <c r="C8" s="5"/>
      <c r="D8" s="5"/>
      <c r="E8" s="5"/>
      <c r="F8" s="8"/>
    </row>
    <row r="9" customFormat="false" ht="14.25" hidden="false" customHeight="false" outlineLevel="0" collapsed="false">
      <c r="A9" s="1" t="s">
        <v>15</v>
      </c>
      <c r="B9" s="1" t="n">
        <v>326</v>
      </c>
      <c r="C9" s="1" t="n">
        <v>44</v>
      </c>
      <c r="D9" s="1" t="s">
        <v>16</v>
      </c>
      <c r="E9" s="1" t="n">
        <v>2.6</v>
      </c>
      <c r="F9" s="6" t="n">
        <f aca="false">AVERAGE(7,4,8)</f>
        <v>6.33333333333333</v>
      </c>
    </row>
    <row r="10" customFormat="false" ht="14.25" hidden="false" customHeight="false" outlineLevel="0" collapsed="false">
      <c r="A10" s="1" t="s">
        <v>17</v>
      </c>
      <c r="B10" s="1" t="n">
        <v>265</v>
      </c>
      <c r="C10" s="1" t="n">
        <v>63</v>
      </c>
      <c r="D10" s="1" t="s">
        <v>10</v>
      </c>
      <c r="E10" s="1" t="n">
        <v>1.8</v>
      </c>
      <c r="F10" s="6" t="n">
        <f aca="false">AVERAGE(9,4,6)</f>
        <v>6.33333333333333</v>
      </c>
    </row>
    <row r="11" customFormat="false" ht="14.25" hidden="false" customHeight="false" outlineLevel="0" collapsed="false">
      <c r="A11" s="1" t="s">
        <v>18</v>
      </c>
      <c r="B11" s="1" t="n">
        <v>280</v>
      </c>
      <c r="C11" s="1" t="n">
        <v>37</v>
      </c>
      <c r="D11" s="1" t="s">
        <v>16</v>
      </c>
      <c r="E11" s="1" t="n">
        <v>2</v>
      </c>
      <c r="F11" s="6" t="n">
        <f aca="false">AVERAGE(4,4,1)</f>
        <v>3</v>
      </c>
    </row>
    <row r="12" customFormat="false" ht="14.25" hidden="false" customHeight="false" outlineLevel="0" collapsed="false">
      <c r="A12" s="4" t="s">
        <v>19</v>
      </c>
      <c r="B12" s="5"/>
      <c r="C12" s="5"/>
      <c r="D12" s="5"/>
      <c r="E12" s="5"/>
      <c r="F12" s="8"/>
      <c r="I12" s="9"/>
    </row>
    <row r="13" customFormat="false" ht="14.25" hidden="false" customHeight="false" outlineLevel="0" collapsed="false">
      <c r="A13" s="1" t="s">
        <v>20</v>
      </c>
      <c r="B13" s="1" t="n">
        <v>344</v>
      </c>
      <c r="C13" s="1" t="n">
        <v>40</v>
      </c>
      <c r="D13" s="1" t="s">
        <v>21</v>
      </c>
      <c r="E13" s="1" t="n">
        <v>3.25</v>
      </c>
      <c r="F13" s="6" t="n">
        <f aca="false">AVERAGE(10,10,4)</f>
        <v>8</v>
      </c>
    </row>
    <row r="14" customFormat="false" ht="14.25" hidden="false" customHeight="false" outlineLevel="0" collapsed="false">
      <c r="A14" s="1" t="s">
        <v>22</v>
      </c>
      <c r="B14" s="1" t="n">
        <v>277</v>
      </c>
      <c r="C14" s="1" t="n">
        <v>40</v>
      </c>
      <c r="D14" s="1" t="s">
        <v>21</v>
      </c>
      <c r="E14" s="1" t="n">
        <v>1</v>
      </c>
      <c r="F14" s="6" t="n">
        <f aca="false">AVERAGE(5,4,3)</f>
        <v>4</v>
      </c>
    </row>
    <row r="15" customFormat="false" ht="14.25" hidden="false" customHeight="false" outlineLevel="0" collapsed="false">
      <c r="A15" s="4" t="s">
        <v>23</v>
      </c>
      <c r="B15" s="5"/>
      <c r="C15" s="5"/>
      <c r="D15" s="5"/>
      <c r="E15" s="5"/>
      <c r="F15" s="8"/>
    </row>
    <row r="16" customFormat="false" ht="14.25" hidden="false" customHeight="false" outlineLevel="0" collapsed="false">
      <c r="A16" s="1" t="s">
        <v>24</v>
      </c>
      <c r="B16" s="1" t="n">
        <v>360</v>
      </c>
      <c r="C16" s="1" t="n">
        <v>44</v>
      </c>
      <c r="D16" s="1" t="s">
        <v>16</v>
      </c>
      <c r="E16" s="1" t="n">
        <v>2</v>
      </c>
      <c r="F16" s="6" t="n">
        <f aca="false">AVERAGE(8,9,9)</f>
        <v>8.66666666666667</v>
      </c>
    </row>
    <row r="17" customFormat="false" ht="14.25" hidden="false" customHeight="false" outlineLevel="0" collapsed="false">
      <c r="A17" s="4" t="s">
        <v>25</v>
      </c>
      <c r="B17" s="5"/>
      <c r="C17" s="5"/>
      <c r="D17" s="5"/>
      <c r="E17" s="5"/>
      <c r="F17" s="8"/>
    </row>
    <row r="18" customFormat="false" ht="14.25" hidden="false" customHeight="false" outlineLevel="0" collapsed="false">
      <c r="A18" s="1" t="s">
        <v>26</v>
      </c>
      <c r="B18" s="1" t="n">
        <v>340</v>
      </c>
      <c r="C18" s="1" t="n">
        <v>37</v>
      </c>
      <c r="D18" s="1" t="s">
        <v>21</v>
      </c>
      <c r="E18" s="1" t="n">
        <v>2.9</v>
      </c>
      <c r="F18" s="6" t="n">
        <f aca="false">AVERAGE(10,9,10)</f>
        <v>9.66666666666667</v>
      </c>
    </row>
    <row r="20" customFormat="false" ht="14.25" hidden="false" customHeight="false" outlineLevel="0" collapsed="false">
      <c r="D20" s="1" t="n">
        <f aca="false">IF(D3="",0, LEN(D3) - LEN(SUBSTITUTE(D3,",",""))+1)</f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9" activeCellId="1" sqref="A32:G32 D19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21"/>
    <col collapsed="false" customWidth="true" hidden="false" outlineLevel="0" max="2" min="2" style="1" width="16"/>
    <col collapsed="false" customWidth="true" hidden="false" outlineLevel="0" max="3" min="3" style="1" width="21.73"/>
    <col collapsed="false" customWidth="true" hidden="false" outlineLevel="0" max="4" min="4" style="1" width="35.18"/>
    <col collapsed="false" customWidth="true" hidden="false" outlineLevel="0" max="5" min="5" style="1" width="19.82"/>
    <col collapsed="false" customWidth="true" hidden="false" outlineLevel="0" max="6" min="6" style="1" width="9.45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4.25" hidden="false" customHeight="false" outlineLevel="0" collapsed="false">
      <c r="A2" s="4" t="s">
        <v>6</v>
      </c>
      <c r="B2" s="5"/>
      <c r="C2" s="5"/>
      <c r="D2" s="5"/>
      <c r="E2" s="5"/>
      <c r="F2" s="5"/>
    </row>
    <row r="3" customFormat="false" ht="14.25" hidden="false" customHeight="false" outlineLevel="0" collapsed="false">
      <c r="A3" s="1" t="s">
        <v>27</v>
      </c>
      <c r="B3" s="1" t="n">
        <v>340</v>
      </c>
      <c r="C3" s="1" t="n">
        <v>33</v>
      </c>
      <c r="D3" s="1" t="s">
        <v>10</v>
      </c>
      <c r="E3" s="1" t="n">
        <v>2.6</v>
      </c>
      <c r="F3" s="6" t="n">
        <f aca="false">AVERAGE(6,4,2)</f>
        <v>4</v>
      </c>
    </row>
    <row r="4" customFormat="false" ht="14.25" hidden="false" customHeight="false" outlineLevel="0" collapsed="false">
      <c r="A4" s="1" t="s">
        <v>28</v>
      </c>
      <c r="B4" s="1" t="n">
        <v>218</v>
      </c>
      <c r="C4" s="1" t="n">
        <v>27</v>
      </c>
      <c r="D4" s="1" t="s">
        <v>16</v>
      </c>
      <c r="E4" s="1" t="n">
        <v>2.4</v>
      </c>
      <c r="F4" s="6" t="n">
        <f aca="false">AVERAGE(6,8,10)</f>
        <v>8</v>
      </c>
    </row>
    <row r="5" customFormat="false" ht="14.25" hidden="false" customHeight="false" outlineLevel="0" collapsed="false">
      <c r="A5" s="1" t="s">
        <v>29</v>
      </c>
      <c r="B5" s="1" t="n">
        <v>250</v>
      </c>
      <c r="C5" s="1" t="n">
        <v>33</v>
      </c>
      <c r="D5" s="1" t="s">
        <v>16</v>
      </c>
      <c r="E5" s="1" t="n">
        <v>1.1</v>
      </c>
      <c r="F5" s="6" t="n">
        <f aca="false">AVERAGE(10,5,5)</f>
        <v>6.66666666666667</v>
      </c>
    </row>
    <row r="6" customFormat="false" ht="14.25" hidden="false" customHeight="false" outlineLevel="0" collapsed="false">
      <c r="A6" s="4" t="s">
        <v>14</v>
      </c>
      <c r="B6" s="5"/>
      <c r="C6" s="5"/>
      <c r="D6" s="5"/>
      <c r="E6" s="5"/>
      <c r="F6" s="8"/>
    </row>
    <row r="7" customFormat="false" ht="14.25" hidden="false" customHeight="false" outlineLevel="0" collapsed="false">
      <c r="A7" s="1" t="s">
        <v>30</v>
      </c>
      <c r="B7" s="1" t="n">
        <v>326</v>
      </c>
      <c r="C7" s="1" t="n">
        <v>36</v>
      </c>
      <c r="D7" s="1" t="s">
        <v>16</v>
      </c>
      <c r="E7" s="1" t="n">
        <v>2.6</v>
      </c>
      <c r="F7" s="6" t="n">
        <f aca="false">AVERAGE(5,5,5)</f>
        <v>5</v>
      </c>
    </row>
    <row r="8" customFormat="false" ht="14.25" hidden="false" customHeight="false" outlineLevel="0" collapsed="false">
      <c r="A8" s="4" t="s">
        <v>19</v>
      </c>
      <c r="B8" s="5"/>
      <c r="C8" s="5"/>
      <c r="D8" s="5"/>
      <c r="E8" s="5"/>
      <c r="F8" s="8"/>
    </row>
    <row r="9" customFormat="false" ht="14.25" hidden="false" customHeight="false" outlineLevel="0" collapsed="false">
      <c r="A9" s="1" t="s">
        <v>31</v>
      </c>
      <c r="B9" s="1" t="n">
        <v>210</v>
      </c>
      <c r="C9" s="1" t="n">
        <v>16</v>
      </c>
      <c r="D9" s="1" t="s">
        <v>32</v>
      </c>
      <c r="E9" s="1" t="n">
        <v>0.6</v>
      </c>
      <c r="F9" s="6" t="n">
        <f aca="false">AVERAGE(3,6,4)</f>
        <v>4.33333333333333</v>
      </c>
    </row>
    <row r="10" customFormat="false" ht="14.25" hidden="false" customHeight="false" outlineLevel="0" collapsed="false">
      <c r="A10" s="1" t="s">
        <v>33</v>
      </c>
      <c r="B10" s="1" t="n">
        <v>340</v>
      </c>
      <c r="C10" s="1" t="n">
        <v>24</v>
      </c>
      <c r="D10" s="1" t="s">
        <v>16</v>
      </c>
      <c r="E10" s="1" t="n">
        <v>2.2</v>
      </c>
      <c r="F10" s="6" t="n">
        <f aca="false">AVERAGE(5,6,4)</f>
        <v>5</v>
      </c>
    </row>
    <row r="11" customFormat="false" ht="14.25" hidden="false" customHeight="false" outlineLevel="0" collapsed="false">
      <c r="A11" s="1" t="s">
        <v>34</v>
      </c>
      <c r="B11" s="1" t="n">
        <v>247</v>
      </c>
      <c r="C11" s="1" t="n">
        <v>26</v>
      </c>
      <c r="D11" s="1" t="s">
        <v>21</v>
      </c>
      <c r="E11" s="1" t="n">
        <v>0.9</v>
      </c>
      <c r="F11" s="6" t="n">
        <f aca="false">AVERAGE(5,7,5)</f>
        <v>5.66666666666667</v>
      </c>
    </row>
    <row r="12" customFormat="false" ht="14.25" hidden="false" customHeight="false" outlineLevel="0" collapsed="false">
      <c r="A12" s="4" t="s">
        <v>23</v>
      </c>
      <c r="B12" s="5"/>
      <c r="C12" s="5"/>
      <c r="D12" s="5"/>
      <c r="E12" s="5"/>
      <c r="F12" s="8"/>
    </row>
    <row r="13" customFormat="false" ht="14.25" hidden="false" customHeight="false" outlineLevel="0" collapsed="false">
      <c r="A13" s="1" t="s">
        <v>35</v>
      </c>
      <c r="B13" s="1" t="n">
        <v>299</v>
      </c>
      <c r="C13" s="1" t="n">
        <v>32</v>
      </c>
      <c r="D13" s="1" t="s">
        <v>36</v>
      </c>
      <c r="E13" s="1" t="n">
        <v>1.3</v>
      </c>
      <c r="F13" s="6" t="n">
        <f aca="false">AVERAGE(9,9,7)</f>
        <v>8.33333333333333</v>
      </c>
    </row>
    <row r="14" customFormat="false" ht="14.25" hidden="false" customHeight="false" outlineLevel="0" collapsed="false">
      <c r="A14" s="4" t="s">
        <v>37</v>
      </c>
      <c r="B14" s="5"/>
      <c r="C14" s="5"/>
      <c r="D14" s="5"/>
      <c r="E14" s="5"/>
      <c r="F14" s="8"/>
    </row>
    <row r="15" customFormat="false" ht="14.25" hidden="false" customHeight="false" outlineLevel="0" collapsed="false">
      <c r="A15" s="1" t="s">
        <v>38</v>
      </c>
      <c r="B15" s="1" t="n">
        <v>330</v>
      </c>
      <c r="C15" s="1" t="n">
        <v>29</v>
      </c>
      <c r="D15" s="1" t="s">
        <v>16</v>
      </c>
      <c r="E15" s="1" t="n">
        <v>1.1</v>
      </c>
      <c r="F15" s="6" t="n">
        <f aca="false">AVERAGE(9,7,10)</f>
        <v>8.66666666666667</v>
      </c>
    </row>
    <row r="16" customFormat="false" ht="14.25" hidden="false" customHeight="false" outlineLevel="0" collapsed="false">
      <c r="A16" s="1" t="s">
        <v>39</v>
      </c>
      <c r="B16" s="1" t="n">
        <v>360</v>
      </c>
      <c r="C16" s="1" t="n">
        <v>47</v>
      </c>
      <c r="D16" s="1" t="s">
        <v>40</v>
      </c>
      <c r="E16" s="1" t="n">
        <v>0.9</v>
      </c>
      <c r="F16" s="6" t="n">
        <f aca="false">AVERAGE(8,3,8)</f>
        <v>6.33333333333333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1" sqref="A32:G32 D2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21.54"/>
    <col collapsed="false" customWidth="true" hidden="false" outlineLevel="0" max="2" min="2" style="1" width="21.27"/>
    <col collapsed="false" customWidth="true" hidden="false" outlineLevel="0" max="3" min="3" style="1" width="26.37"/>
    <col collapsed="false" customWidth="true" hidden="false" outlineLevel="0" max="4" min="4" style="1" width="39.09"/>
    <col collapsed="false" customWidth="true" hidden="false" outlineLevel="0" max="5" min="5" style="1" width="18.18"/>
    <col collapsed="false" customWidth="true" hidden="false" outlineLevel="0" max="6" min="6" style="1" width="12.9"/>
    <col collapsed="false" customWidth="true" hidden="false" outlineLevel="0" max="7" min="7" style="1" width="12.82"/>
    <col collapsed="false" customWidth="true" hidden="false" outlineLevel="0" max="9" min="9" style="1" width="10.82"/>
  </cols>
  <sheetData>
    <row r="1" customFormat="false" ht="14.25" hidden="false" customHeight="false" outlineLevel="0" collapsed="false">
      <c r="A1" s="2" t="s">
        <v>0</v>
      </c>
      <c r="B1" s="2" t="s">
        <v>41</v>
      </c>
      <c r="C1" s="2" t="s">
        <v>42</v>
      </c>
      <c r="D1" s="2" t="s">
        <v>43</v>
      </c>
      <c r="E1" s="2" t="s">
        <v>44</v>
      </c>
      <c r="F1" s="2" t="s">
        <v>45</v>
      </c>
      <c r="G1" s="3"/>
    </row>
    <row r="2" customFormat="false" ht="14.25" hidden="false" customHeight="false" outlineLevel="0" collapsed="false">
      <c r="A2" s="1" t="s">
        <v>7</v>
      </c>
      <c r="B2" s="1" t="n">
        <v>408</v>
      </c>
      <c r="C2" s="1" t="n">
        <v>65</v>
      </c>
      <c r="D2" s="1" t="n">
        <f aca="false">IF('Duże autobusy'!$D$3="",0, LEN('Duże autobusy'!$D$3) - LEN(SUBSTITUTE('Duże autobusy'!$D$3,",",""))+1)</f>
        <v>2</v>
      </c>
      <c r="E2" s="1" t="n">
        <v>2.2</v>
      </c>
      <c r="F2" s="6" t="n">
        <f aca="false">AVERAGE(10,6,5)</f>
        <v>7</v>
      </c>
      <c r="I2" s="7"/>
    </row>
    <row r="3" customFormat="false" ht="14.25" hidden="false" customHeight="false" outlineLevel="0" collapsed="false">
      <c r="A3" s="1" t="s">
        <v>9</v>
      </c>
      <c r="B3" s="1" t="n">
        <v>320</v>
      </c>
      <c r="C3" s="1" t="n">
        <v>55</v>
      </c>
      <c r="D3" s="1" t="n">
        <f aca="false">IF('Duże autobusy'!$D$4="",0, LEN('Duże autobusy'!$D$4) - LEN(SUBSTITUTE('Duże autobusy'!$D$4,",",""))+1)</f>
        <v>3</v>
      </c>
      <c r="E3" s="1" t="n">
        <v>2.4</v>
      </c>
      <c r="F3" s="6" t="n">
        <v>10</v>
      </c>
    </row>
    <row r="4" customFormat="false" ht="14.25" hidden="false" customHeight="false" outlineLevel="0" collapsed="false">
      <c r="A4" s="1" t="s">
        <v>11</v>
      </c>
      <c r="B4" s="1" t="n">
        <v>310</v>
      </c>
      <c r="C4" s="1" t="n">
        <v>54</v>
      </c>
      <c r="D4" s="1" t="n">
        <f aca="false">IF('Duże autobusy'!$D$5="",0, LEN('Duże autobusy'!$D$5) - LEN(SUBSTITUTE('Duże autobusy'!$D$5,",",""))+1)</f>
        <v>3</v>
      </c>
      <c r="E4" s="1" t="n">
        <v>1.8</v>
      </c>
      <c r="F4" s="6" t="n">
        <f aca="false">AVERAGE(5,4,10)</f>
        <v>6.33333333333333</v>
      </c>
    </row>
    <row r="5" customFormat="false" ht="14.25" hidden="false" customHeight="false" outlineLevel="0" collapsed="false">
      <c r="A5" s="1" t="s">
        <v>12</v>
      </c>
      <c r="B5" s="1" t="n">
        <v>256</v>
      </c>
      <c r="C5" s="1" t="n">
        <v>16</v>
      </c>
      <c r="D5" s="1" t="n">
        <f aca="false">IF('Duże autobusy'!$D$6="",0, LEN('Duże autobusy'!$D$6) - LEN(SUBSTITUTE('Duże autobusy'!$D$6,",",""))+1)</f>
        <v>3</v>
      </c>
      <c r="E5" s="1" t="n">
        <v>1</v>
      </c>
      <c r="F5" s="6" t="n">
        <f aca="false">AVERAGE(8,8,10)</f>
        <v>8.66666666666667</v>
      </c>
      <c r="I5" s="7"/>
    </row>
    <row r="6" customFormat="false" ht="14.25" hidden="false" customHeight="false" outlineLevel="0" collapsed="false">
      <c r="A6" s="1" t="s">
        <v>13</v>
      </c>
      <c r="B6" s="1" t="n">
        <v>320</v>
      </c>
      <c r="C6" s="1" t="n">
        <v>40</v>
      </c>
      <c r="D6" s="1" t="n">
        <f aca="false">IF('Duże autobusy'!$D$7="",0, LEN('Duże autobusy'!$D$7) - LEN(SUBSTITUTE('Duże autobusy'!$D$7,",",""))+1)</f>
        <v>3</v>
      </c>
      <c r="E6" s="1" t="n">
        <v>1.1</v>
      </c>
      <c r="F6" s="6" t="n">
        <f aca="false">AVERAGE(3,1,10)</f>
        <v>4.66666666666667</v>
      </c>
    </row>
    <row r="7" customFormat="false" ht="14.25" hidden="false" customHeight="false" outlineLevel="0" collapsed="false">
      <c r="A7" s="1" t="s">
        <v>15</v>
      </c>
      <c r="B7" s="1" t="n">
        <v>326</v>
      </c>
      <c r="C7" s="1" t="n">
        <v>44</v>
      </c>
      <c r="D7" s="1" t="n">
        <f aca="false">IF('Duże autobusy'!$D$9="",0, LEN('Duże autobusy'!$D$9) - LEN(SUBSTITUTE('Duże autobusy'!$D$9,",",""))+1)</f>
        <v>4</v>
      </c>
      <c r="E7" s="1" t="n">
        <v>2.6</v>
      </c>
      <c r="F7" s="6" t="n">
        <f aca="false">AVERAGE(7,4,8)</f>
        <v>6.33333333333333</v>
      </c>
    </row>
    <row r="8" customFormat="false" ht="14.25" hidden="false" customHeight="false" outlineLevel="0" collapsed="false">
      <c r="A8" s="1" t="s">
        <v>17</v>
      </c>
      <c r="B8" s="1" t="n">
        <v>265</v>
      </c>
      <c r="C8" s="1" t="n">
        <v>63</v>
      </c>
      <c r="D8" s="1" t="n">
        <f aca="false">IF('Duże autobusy'!$D$10="",0, LEN('Duże autobusy'!$D$10) - LEN(SUBSTITUTE('Duże autobusy'!$D$10,",",""))+1)</f>
        <v>3</v>
      </c>
      <c r="E8" s="1" t="n">
        <v>1.8</v>
      </c>
      <c r="F8" s="6" t="n">
        <f aca="false">AVERAGE(9,4,6)</f>
        <v>6.33333333333333</v>
      </c>
    </row>
    <row r="9" customFormat="false" ht="14.25" hidden="false" customHeight="false" outlineLevel="0" collapsed="false">
      <c r="A9" s="1" t="s">
        <v>18</v>
      </c>
      <c r="B9" s="1" t="n">
        <v>280</v>
      </c>
      <c r="C9" s="1" t="n">
        <v>37</v>
      </c>
      <c r="D9" s="1" t="n">
        <f aca="false">IF('Duże autobusy'!$D$11="",0, LEN('Duże autobusy'!$D$11) - LEN(SUBSTITUTE('Duże autobusy'!$D$11,",",""))+1)</f>
        <v>4</v>
      </c>
      <c r="E9" s="1" t="n">
        <v>2</v>
      </c>
      <c r="F9" s="6" t="n">
        <f aca="false">AVERAGE(4,4,1)</f>
        <v>3</v>
      </c>
    </row>
    <row r="10" customFormat="false" ht="14.25" hidden="false" customHeight="false" outlineLevel="0" collapsed="false">
      <c r="A10" s="1" t="s">
        <v>20</v>
      </c>
      <c r="B10" s="1" t="n">
        <v>344</v>
      </c>
      <c r="C10" s="1" t="n">
        <v>40</v>
      </c>
      <c r="D10" s="1" t="n">
        <f aca="false">IF('Duże autobusy'!$D$13="",0, LEN('Duże autobusy'!$D$13) - LEN(SUBSTITUTE('Duże autobusy'!$D$13,",",""))+1)</f>
        <v>3</v>
      </c>
      <c r="E10" s="1" t="n">
        <v>3.25</v>
      </c>
      <c r="F10" s="6" t="n">
        <f aca="false">AVERAGE(10,10,4)</f>
        <v>8</v>
      </c>
    </row>
    <row r="11" customFormat="false" ht="14.25" hidden="false" customHeight="false" outlineLevel="0" collapsed="false">
      <c r="A11" s="1" t="s">
        <v>22</v>
      </c>
      <c r="B11" s="1" t="n">
        <v>277</v>
      </c>
      <c r="C11" s="1" t="n">
        <v>40</v>
      </c>
      <c r="D11" s="1" t="n">
        <f aca="false">IF('Duże autobusy'!$D$14="",0, LEN('Duże autobusy'!$D$14) - LEN(SUBSTITUTE('Duże autobusy'!$D$14,",",""))+1)</f>
        <v>3</v>
      </c>
      <c r="E11" s="1" t="n">
        <v>1</v>
      </c>
      <c r="F11" s="6" t="n">
        <f aca="false">AVERAGE(5,4,3)</f>
        <v>4</v>
      </c>
    </row>
    <row r="12" customFormat="false" ht="14.25" hidden="false" customHeight="false" outlineLevel="0" collapsed="false">
      <c r="A12" s="1" t="s">
        <v>24</v>
      </c>
      <c r="B12" s="1" t="n">
        <v>360</v>
      </c>
      <c r="C12" s="1" t="n">
        <v>44</v>
      </c>
      <c r="D12" s="1" t="n">
        <f aca="false">IF('Duże autobusy'!$D$16="",0, LEN('Duże autobusy'!$D$16) - LEN(SUBSTITUTE('Duże autobusy'!$D$16,",",""))+1)</f>
        <v>4</v>
      </c>
      <c r="E12" s="1" t="n">
        <v>2</v>
      </c>
      <c r="F12" s="6" t="n">
        <f aca="false">AVERAGE(8,9,9)</f>
        <v>8.66666666666667</v>
      </c>
    </row>
    <row r="13" customFormat="false" ht="14.25" hidden="false" customHeight="false" outlineLevel="0" collapsed="false">
      <c r="A13" s="1" t="s">
        <v>26</v>
      </c>
      <c r="B13" s="1" t="n">
        <v>340</v>
      </c>
      <c r="C13" s="1" t="n">
        <v>37</v>
      </c>
      <c r="D13" s="1" t="n">
        <f aca="false">IF('Duże autobusy'!$D$18="",0, LEN('Duże autobusy'!$D$18) - LEN(SUBSTITUTE('Duże autobusy'!$D$18,",",""))+1)</f>
        <v>3</v>
      </c>
      <c r="E13" s="1" t="n">
        <v>2.9</v>
      </c>
      <c r="F13" s="6" t="n">
        <f aca="false">AVERAGE(10,9,10)</f>
        <v>9.66666666666667</v>
      </c>
    </row>
    <row r="15" customFormat="false" ht="14.25" hidden="false" customHeight="false" outlineLevel="0" collapsed="false">
      <c r="A15" s="1" t="s">
        <v>46</v>
      </c>
      <c r="B15" s="1" t="n">
        <f aca="false">MAX(B2:B13)</f>
        <v>408</v>
      </c>
      <c r="C15" s="1" t="n">
        <f aca="false">MAX(C2:C13)</f>
        <v>65</v>
      </c>
      <c r="D15" s="1" t="n">
        <f aca="false">MAX(D2:D13)</f>
        <v>4</v>
      </c>
      <c r="E15" s="1" t="n">
        <f aca="false">MIN(E2:E13)</f>
        <v>1</v>
      </c>
      <c r="F15" s="1" t="n">
        <f aca="false">MAX(F2:F13)</f>
        <v>10</v>
      </c>
    </row>
    <row r="16" customFormat="false" ht="14.25" hidden="false" customHeight="false" outlineLevel="0" collapsed="false">
      <c r="A16" s="1" t="s">
        <v>47</v>
      </c>
      <c r="B16" s="1" t="n">
        <v>0.26</v>
      </c>
      <c r="C16" s="1" t="n">
        <v>0.26</v>
      </c>
      <c r="D16" s="1" t="n">
        <v>0.11</v>
      </c>
      <c r="E16" s="1" t="n">
        <v>0.11</v>
      </c>
      <c r="F16" s="1" t="n">
        <v>0.26</v>
      </c>
      <c r="G16" s="1" t="n">
        <f aca="false">SUM(B16:F16)</f>
        <v>1</v>
      </c>
    </row>
    <row r="18" customFormat="false" ht="14.25" hidden="false" customHeight="false" outlineLevel="0" collapsed="false">
      <c r="A18" s="2" t="s">
        <v>0</v>
      </c>
      <c r="B18" s="2" t="s">
        <v>1</v>
      </c>
      <c r="C18" s="2" t="s">
        <v>2</v>
      </c>
      <c r="D18" s="2" t="s">
        <v>3</v>
      </c>
      <c r="E18" s="2" t="s">
        <v>48</v>
      </c>
      <c r="F18" s="2" t="s">
        <v>5</v>
      </c>
      <c r="G18" s="2" t="s">
        <v>49</v>
      </c>
    </row>
    <row r="19" customFormat="false" ht="14.25" hidden="false" customHeight="false" outlineLevel="0" collapsed="false">
      <c r="A19" s="1" t="s">
        <v>7</v>
      </c>
      <c r="B19" s="10" t="n">
        <f aca="false">(B2/B$15)*B$16</f>
        <v>0.26</v>
      </c>
      <c r="C19" s="10" t="n">
        <f aca="false">(C2/C$15)*C$16</f>
        <v>0.26</v>
      </c>
      <c r="D19" s="10" t="n">
        <f aca="false">(D2/D$15)*D$16</f>
        <v>0.055</v>
      </c>
      <c r="E19" s="10" t="n">
        <f aca="false">($E$15/E2)*$E$16</f>
        <v>0.05</v>
      </c>
      <c r="F19" s="10" t="n">
        <f aca="false">(F2/F$15)*F$16</f>
        <v>0.182</v>
      </c>
      <c r="G19" s="11" t="n">
        <f aca="false">SUM(B19:F19)</f>
        <v>0.807</v>
      </c>
    </row>
    <row r="20" customFormat="false" ht="14.25" hidden="false" customHeight="false" outlineLevel="0" collapsed="false">
      <c r="A20" s="12" t="s">
        <v>9</v>
      </c>
      <c r="B20" s="13" t="n">
        <f aca="false">(B3/B$15)*B$16</f>
        <v>0.203921568627451</v>
      </c>
      <c r="C20" s="13" t="n">
        <f aca="false">(C3/C$15)*C$16</f>
        <v>0.22</v>
      </c>
      <c r="D20" s="13" t="n">
        <f aca="false">(D3/D$15)*D$16</f>
        <v>0.0825</v>
      </c>
      <c r="E20" s="13" t="n">
        <f aca="false">($E$15/E3)*$E$16</f>
        <v>0.0458333333333333</v>
      </c>
      <c r="F20" s="13" t="n">
        <f aca="false">(F3/F$15)*F$16</f>
        <v>0.26</v>
      </c>
      <c r="G20" s="14" t="n">
        <f aca="false">SUM(B20:F20)</f>
        <v>0.812254901960784</v>
      </c>
    </row>
    <row r="21" customFormat="false" ht="14.25" hidden="false" customHeight="false" outlineLevel="0" collapsed="false">
      <c r="A21" s="1" t="s">
        <v>11</v>
      </c>
      <c r="B21" s="10" t="n">
        <f aca="false">(B4/B$15)*B$16</f>
        <v>0.197549019607843</v>
      </c>
      <c r="C21" s="10" t="n">
        <f aca="false">(C4/C$15)*C$16</f>
        <v>0.216</v>
      </c>
      <c r="D21" s="10" t="n">
        <f aca="false">(D4/D$15)*D$16</f>
        <v>0.0825</v>
      </c>
      <c r="E21" s="10" t="n">
        <f aca="false">($E$15/E4)*$E$16</f>
        <v>0.0611111111111111</v>
      </c>
      <c r="F21" s="10" t="n">
        <f aca="false">(F4/F$15)*F$16</f>
        <v>0.164666666666667</v>
      </c>
      <c r="G21" s="11" t="n">
        <f aca="false">SUM(B21:F21)</f>
        <v>0.721826797385621</v>
      </c>
    </row>
    <row r="22" customFormat="false" ht="14.25" hidden="false" customHeight="false" outlineLevel="0" collapsed="false">
      <c r="A22" s="1" t="s">
        <v>12</v>
      </c>
      <c r="B22" s="10" t="n">
        <f aca="false">(B5/B$15)*B$16</f>
        <v>0.163137254901961</v>
      </c>
      <c r="C22" s="10" t="n">
        <f aca="false">(C5/C$15)*C$16</f>
        <v>0.064</v>
      </c>
      <c r="D22" s="10" t="n">
        <f aca="false">(D5/D$15)*D$16</f>
        <v>0.0825</v>
      </c>
      <c r="E22" s="10" t="n">
        <f aca="false">($E$15/E5)*$E$16</f>
        <v>0.11</v>
      </c>
      <c r="F22" s="10" t="n">
        <f aca="false">(F5/F$15)*F$16</f>
        <v>0.225333333333333</v>
      </c>
      <c r="G22" s="11" t="n">
        <f aca="false">SUM(B22:F22)</f>
        <v>0.644970588235294</v>
      </c>
    </row>
    <row r="23" customFormat="false" ht="14.25" hidden="false" customHeight="false" outlineLevel="0" collapsed="false">
      <c r="A23" s="1" t="s">
        <v>13</v>
      </c>
      <c r="B23" s="10" t="n">
        <f aca="false">(B6/B$15)*B$16</f>
        <v>0.203921568627451</v>
      </c>
      <c r="C23" s="10" t="n">
        <f aca="false">(C6/C$15)*C$16</f>
        <v>0.16</v>
      </c>
      <c r="D23" s="10" t="n">
        <f aca="false">(D6/D$15)*D$16</f>
        <v>0.0825</v>
      </c>
      <c r="E23" s="10" t="n">
        <f aca="false">($E$15/E6)*$E$16</f>
        <v>0.1</v>
      </c>
      <c r="F23" s="10" t="n">
        <f aca="false">(F6/F$15)*F$16</f>
        <v>0.121333333333333</v>
      </c>
      <c r="G23" s="11" t="n">
        <f aca="false">SUM(B23:F23)</f>
        <v>0.667754901960784</v>
      </c>
    </row>
    <row r="24" customFormat="false" ht="14.25" hidden="false" customHeight="false" outlineLevel="0" collapsed="false">
      <c r="A24" s="1" t="s">
        <v>15</v>
      </c>
      <c r="B24" s="10" t="n">
        <f aca="false">(B7/B$15)*B$16</f>
        <v>0.207745098039216</v>
      </c>
      <c r="C24" s="10" t="n">
        <f aca="false">(C7/C$15)*C$16</f>
        <v>0.176</v>
      </c>
      <c r="D24" s="10" t="n">
        <f aca="false">(D7/D$15)*D$16</f>
        <v>0.11</v>
      </c>
      <c r="E24" s="10" t="n">
        <f aca="false">($E$15/E7)*$E$16</f>
        <v>0.0423076923076923</v>
      </c>
      <c r="F24" s="10" t="n">
        <f aca="false">(F7/F$15)*F$16</f>
        <v>0.164666666666667</v>
      </c>
      <c r="G24" s="11" t="n">
        <f aca="false">SUM(B24:F24)</f>
        <v>0.700719457013575</v>
      </c>
    </row>
    <row r="25" customFormat="false" ht="14.25" hidden="false" customHeight="false" outlineLevel="0" collapsed="false">
      <c r="A25" s="1" t="s">
        <v>17</v>
      </c>
      <c r="B25" s="10" t="n">
        <f aca="false">(B8/B$15)*B$16</f>
        <v>0.168872549019608</v>
      </c>
      <c r="C25" s="10" t="n">
        <f aca="false">(C8/C$15)*C$16</f>
        <v>0.252</v>
      </c>
      <c r="D25" s="10" t="n">
        <f aca="false">(D8/D$15)*D$16</f>
        <v>0.0825</v>
      </c>
      <c r="E25" s="10" t="n">
        <f aca="false">($E$15/E8)*$E$16</f>
        <v>0.0611111111111111</v>
      </c>
      <c r="F25" s="10" t="n">
        <f aca="false">(F8/F$15)*F$16</f>
        <v>0.164666666666667</v>
      </c>
      <c r="G25" s="11" t="n">
        <f aca="false">SUM(B25:F25)</f>
        <v>0.729150326797386</v>
      </c>
    </row>
    <row r="26" customFormat="false" ht="14.25" hidden="false" customHeight="false" outlineLevel="0" collapsed="false">
      <c r="A26" s="1" t="s">
        <v>18</v>
      </c>
      <c r="B26" s="10" t="n">
        <f aca="false">(B9/B$15)*B$16</f>
        <v>0.17843137254902</v>
      </c>
      <c r="C26" s="10" t="n">
        <f aca="false">(C9/C$15)*C$16</f>
        <v>0.148</v>
      </c>
      <c r="D26" s="10" t="n">
        <f aca="false">(D9/D$15)*D$16</f>
        <v>0.11</v>
      </c>
      <c r="E26" s="10" t="n">
        <f aca="false">($E$15/E9)*$E$16</f>
        <v>0.055</v>
      </c>
      <c r="F26" s="10" t="n">
        <f aca="false">(F9/F$15)*F$16</f>
        <v>0.078</v>
      </c>
      <c r="G26" s="11" t="n">
        <f aca="false">SUM(B26:F26)</f>
        <v>0.56943137254902</v>
      </c>
    </row>
    <row r="27" customFormat="false" ht="14.25" hidden="false" customHeight="false" outlineLevel="0" collapsed="false">
      <c r="A27" s="1" t="s">
        <v>20</v>
      </c>
      <c r="B27" s="10" t="n">
        <f aca="false">(B10/B$15)*B$16</f>
        <v>0.21921568627451</v>
      </c>
      <c r="C27" s="10" t="n">
        <f aca="false">(C10/C$15)*C$16</f>
        <v>0.16</v>
      </c>
      <c r="D27" s="10" t="n">
        <f aca="false">(D10/D$15)*D$16</f>
        <v>0.0825</v>
      </c>
      <c r="E27" s="10" t="n">
        <f aca="false">($E$15/E10)*$E$16</f>
        <v>0.0338461538461538</v>
      </c>
      <c r="F27" s="10" t="n">
        <f aca="false">(F10/F$15)*F$16</f>
        <v>0.208</v>
      </c>
      <c r="G27" s="11" t="n">
        <f aca="false">SUM(B27:F27)</f>
        <v>0.703561840120664</v>
      </c>
    </row>
    <row r="28" customFormat="false" ht="14.25" hidden="false" customHeight="false" outlineLevel="0" collapsed="false">
      <c r="A28" s="1" t="s">
        <v>22</v>
      </c>
      <c r="B28" s="10" t="n">
        <f aca="false">(B11/B$15)*B$16</f>
        <v>0.176519607843137</v>
      </c>
      <c r="C28" s="10" t="n">
        <f aca="false">(C11/C$15)*C$16</f>
        <v>0.16</v>
      </c>
      <c r="D28" s="10" t="n">
        <f aca="false">(D11/D$15)*D$16</f>
        <v>0.0825</v>
      </c>
      <c r="E28" s="10" t="n">
        <f aca="false">($E$15/E11)*$E$16</f>
        <v>0.11</v>
      </c>
      <c r="F28" s="10" t="n">
        <f aca="false">(F11/F$15)*F$16</f>
        <v>0.104</v>
      </c>
      <c r="G28" s="11" t="n">
        <f aca="false">SUM(B28:F28)</f>
        <v>0.633019607843137</v>
      </c>
    </row>
    <row r="29" customFormat="false" ht="14.25" hidden="false" customHeight="false" outlineLevel="0" collapsed="false">
      <c r="A29" s="1" t="s">
        <v>24</v>
      </c>
      <c r="B29" s="10" t="n">
        <f aca="false">(B12/B$15)*B$16</f>
        <v>0.229411764705882</v>
      </c>
      <c r="C29" s="10" t="n">
        <f aca="false">(C12/C$15)*C$16</f>
        <v>0.176</v>
      </c>
      <c r="D29" s="10" t="n">
        <f aca="false">(D12/D$15)*D$16</f>
        <v>0.11</v>
      </c>
      <c r="E29" s="10" t="n">
        <f aca="false">($E$15/E12)*$E$16</f>
        <v>0.055</v>
      </c>
      <c r="F29" s="10" t="n">
        <f aca="false">(F12/F$15)*F$16</f>
        <v>0.225333333333333</v>
      </c>
      <c r="G29" s="11" t="n">
        <f aca="false">SUM(B29:F29)</f>
        <v>0.795745098039216</v>
      </c>
    </row>
    <row r="30" customFormat="false" ht="14.25" hidden="false" customHeight="false" outlineLevel="0" collapsed="false">
      <c r="A30" s="1" t="s">
        <v>26</v>
      </c>
      <c r="B30" s="10" t="n">
        <f aca="false">(B13/B$15)*B$16</f>
        <v>0.216666666666667</v>
      </c>
      <c r="C30" s="10" t="n">
        <f aca="false">(C13/C$15)*C$16</f>
        <v>0.148</v>
      </c>
      <c r="D30" s="10" t="n">
        <f aca="false">(D13/D$15)*D$16</f>
        <v>0.0825</v>
      </c>
      <c r="E30" s="10" t="n">
        <f aca="false">($E$15/E13)*$E$16</f>
        <v>0.0379310344827586</v>
      </c>
      <c r="F30" s="10" t="n">
        <f aca="false">(F13/F$15)*F$16</f>
        <v>0.251333333333333</v>
      </c>
      <c r="G30" s="11" t="n">
        <f aca="false">SUM(B30:F30)</f>
        <v>0.736431034482759</v>
      </c>
    </row>
    <row r="33" customFormat="false" ht="14.25" hidden="false" customHeight="false" outlineLevel="0" collapsed="false">
      <c r="A33" s="15"/>
      <c r="B33" s="16" t="s">
        <v>50</v>
      </c>
      <c r="C33" s="17"/>
      <c r="D33" s="17"/>
      <c r="E33" s="17"/>
      <c r="F33" s="17"/>
      <c r="G33" s="18"/>
    </row>
    <row r="34" customFormat="false" ht="14.25" hidden="false" customHeight="false" outlineLevel="0" collapsed="false">
      <c r="A34" s="19" t="s">
        <v>0</v>
      </c>
      <c r="B34" s="20" t="s">
        <v>51</v>
      </c>
      <c r="C34" s="21" t="s">
        <v>52</v>
      </c>
      <c r="D34" s="21" t="s">
        <v>53</v>
      </c>
      <c r="E34" s="21" t="s">
        <v>54</v>
      </c>
      <c r="F34" s="21" t="s">
        <v>55</v>
      </c>
      <c r="G34" s="22" t="s">
        <v>56</v>
      </c>
    </row>
    <row r="35" customFormat="false" ht="14.25" hidden="false" customHeight="false" outlineLevel="0" collapsed="false">
      <c r="A35" s="23" t="s">
        <v>24</v>
      </c>
      <c r="B35" s="24" t="n">
        <v>0.229411764705882</v>
      </c>
      <c r="C35" s="25" t="n">
        <v>0.176</v>
      </c>
      <c r="D35" s="25" t="n">
        <v>0.11</v>
      </c>
      <c r="E35" s="25" t="n">
        <v>0.055</v>
      </c>
      <c r="F35" s="25" t="n">
        <v>0.225333333333333</v>
      </c>
      <c r="G35" s="26" t="n">
        <v>0.795745098039216</v>
      </c>
    </row>
    <row r="36" customFormat="false" ht="14.25" hidden="false" customHeight="false" outlineLevel="0" collapsed="false">
      <c r="A36" s="27" t="s">
        <v>15</v>
      </c>
      <c r="B36" s="28" t="n">
        <v>0.207745098039216</v>
      </c>
      <c r="C36" s="29" t="n">
        <v>0.176</v>
      </c>
      <c r="D36" s="29" t="n">
        <v>0.11</v>
      </c>
      <c r="E36" s="29" t="n">
        <v>0.0423076923076923</v>
      </c>
      <c r="F36" s="29" t="n">
        <v>0.164666666666667</v>
      </c>
      <c r="G36" s="30" t="n">
        <v>0.700719457013575</v>
      </c>
    </row>
    <row r="37" customFormat="false" ht="14.25" hidden="false" customHeight="false" outlineLevel="0" collapsed="false">
      <c r="A37" s="27" t="s">
        <v>18</v>
      </c>
      <c r="B37" s="28" t="n">
        <v>0.17843137254902</v>
      </c>
      <c r="C37" s="29" t="n">
        <v>0.148</v>
      </c>
      <c r="D37" s="29" t="n">
        <v>0.11</v>
      </c>
      <c r="E37" s="29" t="n">
        <v>0.055</v>
      </c>
      <c r="F37" s="29" t="n">
        <v>0.078</v>
      </c>
      <c r="G37" s="30" t="n">
        <v>0.56943137254902</v>
      </c>
    </row>
    <row r="38" customFormat="false" ht="14.25" hidden="false" customHeight="false" outlineLevel="0" collapsed="false">
      <c r="A38" s="27" t="s">
        <v>17</v>
      </c>
      <c r="B38" s="28" t="n">
        <v>0.168872549019608</v>
      </c>
      <c r="C38" s="29" t="n">
        <v>0.252</v>
      </c>
      <c r="D38" s="29" t="n">
        <v>0.0825</v>
      </c>
      <c r="E38" s="29" t="n">
        <v>0.0611111111111111</v>
      </c>
      <c r="F38" s="29" t="n">
        <v>0.164666666666667</v>
      </c>
      <c r="G38" s="30" t="n">
        <v>0.729150326797386</v>
      </c>
    </row>
    <row r="39" customFormat="false" ht="14.25" hidden="false" customHeight="false" outlineLevel="0" collapsed="false">
      <c r="A39" s="27" t="s">
        <v>26</v>
      </c>
      <c r="B39" s="28" t="n">
        <v>0.216666666666667</v>
      </c>
      <c r="C39" s="29" t="n">
        <v>0.148</v>
      </c>
      <c r="D39" s="29" t="n">
        <v>0.0825</v>
      </c>
      <c r="E39" s="29" t="n">
        <v>0.0379310344827586</v>
      </c>
      <c r="F39" s="29" t="n">
        <v>0.251333333333333</v>
      </c>
      <c r="G39" s="30" t="n">
        <v>0.736431034482759</v>
      </c>
    </row>
    <row r="40" customFormat="false" ht="14.25" hidden="false" customHeight="false" outlineLevel="0" collapsed="false">
      <c r="A40" s="27" t="s">
        <v>22</v>
      </c>
      <c r="B40" s="28" t="n">
        <v>0.176519607843137</v>
      </c>
      <c r="C40" s="29" t="n">
        <v>0.16</v>
      </c>
      <c r="D40" s="29" t="n">
        <v>0.0825</v>
      </c>
      <c r="E40" s="29" t="n">
        <v>0.11</v>
      </c>
      <c r="F40" s="29" t="n">
        <v>0.104</v>
      </c>
      <c r="G40" s="30" t="n">
        <v>0.633019607843137</v>
      </c>
    </row>
    <row r="41" customFormat="false" ht="14.25" hidden="false" customHeight="false" outlineLevel="0" collapsed="false">
      <c r="A41" s="27" t="s">
        <v>20</v>
      </c>
      <c r="B41" s="28" t="n">
        <v>0.21921568627451</v>
      </c>
      <c r="C41" s="29" t="n">
        <v>0.16</v>
      </c>
      <c r="D41" s="29" t="n">
        <v>0.0825</v>
      </c>
      <c r="E41" s="29" t="n">
        <v>0.0338461538461538</v>
      </c>
      <c r="F41" s="29" t="n">
        <v>0.208</v>
      </c>
      <c r="G41" s="30" t="n">
        <v>0.703561840120664</v>
      </c>
    </row>
    <row r="42" customFormat="false" ht="14.25" hidden="false" customHeight="false" outlineLevel="0" collapsed="false">
      <c r="A42" s="27" t="s">
        <v>12</v>
      </c>
      <c r="B42" s="28" t="n">
        <v>0.163137254901961</v>
      </c>
      <c r="C42" s="29" t="n">
        <v>0.064</v>
      </c>
      <c r="D42" s="29" t="n">
        <v>0.0825</v>
      </c>
      <c r="E42" s="29" t="n">
        <v>0.11</v>
      </c>
      <c r="F42" s="29" t="n">
        <v>0.225333333333333</v>
      </c>
      <c r="G42" s="30" t="n">
        <v>0.644970588235294</v>
      </c>
    </row>
    <row r="43" customFormat="false" ht="14.25" hidden="false" customHeight="false" outlineLevel="0" collapsed="false">
      <c r="A43" s="27" t="s">
        <v>13</v>
      </c>
      <c r="B43" s="28" t="n">
        <v>0.203921568627451</v>
      </c>
      <c r="C43" s="29" t="n">
        <v>0.16</v>
      </c>
      <c r="D43" s="29" t="n">
        <v>0.0825</v>
      </c>
      <c r="E43" s="29" t="n">
        <v>0.1</v>
      </c>
      <c r="F43" s="29" t="n">
        <v>0.121333333333333</v>
      </c>
      <c r="G43" s="30" t="n">
        <v>0.667754901960784</v>
      </c>
    </row>
    <row r="44" customFormat="false" ht="14.25" hidden="false" customHeight="false" outlineLevel="0" collapsed="false">
      <c r="A44" s="27" t="s">
        <v>7</v>
      </c>
      <c r="B44" s="28" t="n">
        <v>0.26</v>
      </c>
      <c r="C44" s="29" t="n">
        <v>0.26</v>
      </c>
      <c r="D44" s="29" t="n">
        <v>0.055</v>
      </c>
      <c r="E44" s="29" t="n">
        <v>0.05</v>
      </c>
      <c r="F44" s="29" t="n">
        <v>0.182</v>
      </c>
      <c r="G44" s="30" t="n">
        <v>0.807</v>
      </c>
    </row>
    <row r="45" customFormat="false" ht="14.25" hidden="false" customHeight="false" outlineLevel="0" collapsed="false">
      <c r="A45" s="27" t="s">
        <v>11</v>
      </c>
      <c r="B45" s="28" t="n">
        <v>0.197549019607843</v>
      </c>
      <c r="C45" s="29" t="n">
        <v>0.216</v>
      </c>
      <c r="D45" s="29" t="n">
        <v>0.0825</v>
      </c>
      <c r="E45" s="29" t="n">
        <v>0.0611111111111111</v>
      </c>
      <c r="F45" s="29" t="n">
        <v>0.164666666666667</v>
      </c>
      <c r="G45" s="30" t="n">
        <v>0.721826797385621</v>
      </c>
    </row>
    <row r="46" customFormat="false" ht="14.25" hidden="false" customHeight="false" outlineLevel="0" collapsed="false">
      <c r="A46" s="27" t="s">
        <v>9</v>
      </c>
      <c r="B46" s="31" t="n">
        <v>0.203921568627451</v>
      </c>
      <c r="C46" s="32" t="n">
        <v>0.22</v>
      </c>
      <c r="D46" s="32" t="n">
        <v>0.0825</v>
      </c>
      <c r="E46" s="32" t="n">
        <v>0.0458333333333333</v>
      </c>
      <c r="F46" s="32" t="n">
        <v>0.26</v>
      </c>
      <c r="G46" s="33" t="n">
        <v>0.812254901960784</v>
      </c>
    </row>
    <row r="47" customFormat="false" ht="14.25" hidden="false" customHeight="false" outlineLevel="0" collapsed="false">
      <c r="A47" s="34" t="s">
        <v>57</v>
      </c>
      <c r="B47" s="35" t="n">
        <v>2.42539215686275</v>
      </c>
      <c r="C47" s="36" t="n">
        <v>2.14</v>
      </c>
      <c r="D47" s="36" t="n">
        <v>1.045</v>
      </c>
      <c r="E47" s="36" t="n">
        <v>0.76214043619216</v>
      </c>
      <c r="F47" s="36" t="n">
        <v>2.14933333333333</v>
      </c>
      <c r="G47" s="37" t="n">
        <v>8.52186592638824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9"/>
  <sheetViews>
    <sheetView showFormulas="false" showGridLines="true" showRowColHeaders="true" showZeros="true" rightToLeft="false" tabSelected="false" showOutlineSymbols="true" defaultGridColor="true" view="normal" topLeftCell="A42" colorId="64" zoomScale="100" zoomScaleNormal="100" zoomScalePageLayoutView="100" workbookViewId="0">
      <selection pane="topLeft" activeCell="J89" activeCellId="1" sqref="A32:G32 J89"/>
    </sheetView>
  </sheetViews>
  <sheetFormatPr defaultColWidth="10.16015625" defaultRowHeight="12.8" zeroHeight="false" outlineLevelRow="0" outlineLevelCol="0"/>
  <cols>
    <col collapsed="false" customWidth="true" hidden="false" outlineLevel="0" max="1" min="1" style="1" width="19.52"/>
    <col collapsed="false" customWidth="true" hidden="false" outlineLevel="0" max="2" min="2" style="1" width="21.24"/>
    <col collapsed="false" customWidth="true" hidden="false" outlineLevel="0" max="3" min="3" style="1" width="26.63"/>
    <col collapsed="false" customWidth="true" hidden="false" outlineLevel="0" max="4" min="4" style="1" width="40.6"/>
    <col collapsed="false" customWidth="true" hidden="false" outlineLevel="0" max="5" min="5" style="1" width="25.04"/>
    <col collapsed="false" customWidth="true" hidden="false" outlineLevel="0" max="6" min="6" style="1" width="12.29"/>
  </cols>
  <sheetData>
    <row r="1" customFormat="false" ht="13.8" hidden="false" customHeight="false" outlineLevel="0" collapsed="false"/>
    <row r="2" customFormat="false" ht="13.8" hidden="false" customHeight="false" outlineLevel="0" collapsed="false">
      <c r="A2" s="1" t="s">
        <v>58</v>
      </c>
    </row>
    <row r="3" customFormat="false" ht="13.8" hidden="false" customHeight="false" outlineLevel="0" collapsed="false"/>
    <row r="4" customFormat="false" ht="13.8" hidden="false" customHeight="false" outlineLevel="0" collapsed="false">
      <c r="A4" s="2" t="s">
        <v>0</v>
      </c>
      <c r="B4" s="2" t="s">
        <v>41</v>
      </c>
      <c r="C4" s="2" t="s">
        <v>42</v>
      </c>
      <c r="D4" s="2" t="s">
        <v>43</v>
      </c>
      <c r="E4" s="2" t="s">
        <v>44</v>
      </c>
      <c r="F4" s="2" t="s">
        <v>45</v>
      </c>
      <c r="G4" s="3"/>
    </row>
    <row r="5" customFormat="false" ht="13.8" hidden="false" customHeight="false" outlineLevel="0" collapsed="false">
      <c r="A5" s="1" t="s">
        <v>7</v>
      </c>
      <c r="B5" s="1" t="n">
        <v>408</v>
      </c>
      <c r="C5" s="1" t="n">
        <v>65</v>
      </c>
      <c r="D5" s="1" t="n">
        <f aca="false">IF('Duże autobusy'!$D$3="",0, LEN('Duże autobusy'!$D$3) - LEN(SUBSTITUTE('Duże autobusy'!$D$3,",",""))+1)</f>
        <v>2</v>
      </c>
      <c r="E5" s="1" t="n">
        <v>2.2</v>
      </c>
      <c r="F5" s="6" t="n">
        <f aca="false">AVERAGE(10,6,5)</f>
        <v>7</v>
      </c>
      <c r="G5" s="1"/>
    </row>
    <row r="6" customFormat="false" ht="13.8" hidden="false" customHeight="false" outlineLevel="0" collapsed="false">
      <c r="A6" s="1" t="s">
        <v>9</v>
      </c>
      <c r="B6" s="1" t="n">
        <v>320</v>
      </c>
      <c r="C6" s="1" t="n">
        <v>55</v>
      </c>
      <c r="D6" s="1" t="n">
        <f aca="false">IF('Duże autobusy'!$D$4="",0, LEN('Duże autobusy'!$D$4) - LEN(SUBSTITUTE('Duże autobusy'!$D$4,",",""))+1)</f>
        <v>3</v>
      </c>
      <c r="E6" s="1" t="n">
        <v>2.4</v>
      </c>
      <c r="F6" s="6" t="n">
        <v>10</v>
      </c>
      <c r="G6" s="1"/>
    </row>
    <row r="7" customFormat="false" ht="13.8" hidden="false" customHeight="false" outlineLevel="0" collapsed="false">
      <c r="A7" s="1" t="s">
        <v>11</v>
      </c>
      <c r="B7" s="1" t="n">
        <v>310</v>
      </c>
      <c r="C7" s="1" t="n">
        <v>54</v>
      </c>
      <c r="D7" s="1" t="n">
        <f aca="false">IF('Duże autobusy'!$D$5="",0, LEN('Duże autobusy'!$D$5) - LEN(SUBSTITUTE('Duże autobusy'!$D$5,",",""))+1)</f>
        <v>3</v>
      </c>
      <c r="E7" s="1" t="n">
        <v>1.8</v>
      </c>
      <c r="F7" s="6" t="n">
        <f aca="false">AVERAGE(5,4,10)</f>
        <v>6.33333333333333</v>
      </c>
      <c r="G7" s="1"/>
    </row>
    <row r="8" customFormat="false" ht="13.8" hidden="false" customHeight="false" outlineLevel="0" collapsed="false">
      <c r="A8" s="1" t="s">
        <v>12</v>
      </c>
      <c r="B8" s="1" t="n">
        <v>256</v>
      </c>
      <c r="C8" s="1" t="n">
        <v>16</v>
      </c>
      <c r="D8" s="1" t="n">
        <f aca="false">IF('Duże autobusy'!$D$6="",0, LEN('Duże autobusy'!$D$6) - LEN(SUBSTITUTE('Duże autobusy'!$D$6,",",""))+1)</f>
        <v>3</v>
      </c>
      <c r="E8" s="1" t="n">
        <v>1</v>
      </c>
      <c r="F8" s="6" t="n">
        <f aca="false">AVERAGE(8,8,10)</f>
        <v>8.66666666666667</v>
      </c>
      <c r="G8" s="1"/>
    </row>
    <row r="9" customFormat="false" ht="13.8" hidden="false" customHeight="false" outlineLevel="0" collapsed="false">
      <c r="A9" s="1" t="s">
        <v>13</v>
      </c>
      <c r="B9" s="1" t="n">
        <v>320</v>
      </c>
      <c r="C9" s="1" t="n">
        <v>40</v>
      </c>
      <c r="D9" s="1" t="n">
        <f aca="false">IF('Duże autobusy'!$D$7="",0, LEN('Duże autobusy'!$D$7) - LEN(SUBSTITUTE('Duże autobusy'!$D$7,",",""))+1)</f>
        <v>3</v>
      </c>
      <c r="E9" s="1" t="n">
        <v>1.1</v>
      </c>
      <c r="F9" s="6" t="n">
        <f aca="false">AVERAGE(3,1,10)</f>
        <v>4.66666666666667</v>
      </c>
      <c r="G9" s="1"/>
    </row>
    <row r="10" customFormat="false" ht="13.8" hidden="false" customHeight="false" outlineLevel="0" collapsed="false">
      <c r="A10" s="1" t="s">
        <v>15</v>
      </c>
      <c r="B10" s="1" t="n">
        <v>326</v>
      </c>
      <c r="C10" s="1" t="n">
        <v>44</v>
      </c>
      <c r="D10" s="1" t="n">
        <f aca="false">IF('Duże autobusy'!$D$9="",0, LEN('Duże autobusy'!$D$9) - LEN(SUBSTITUTE('Duże autobusy'!$D$9,",",""))+1)</f>
        <v>4</v>
      </c>
      <c r="E10" s="1" t="n">
        <v>2.6</v>
      </c>
      <c r="F10" s="6" t="n">
        <f aca="false">AVERAGE(7,4,8)</f>
        <v>6.33333333333333</v>
      </c>
      <c r="G10" s="1"/>
    </row>
    <row r="11" customFormat="false" ht="13.8" hidden="false" customHeight="false" outlineLevel="0" collapsed="false">
      <c r="A11" s="1" t="s">
        <v>17</v>
      </c>
      <c r="B11" s="1" t="n">
        <v>265</v>
      </c>
      <c r="C11" s="1" t="n">
        <v>63</v>
      </c>
      <c r="D11" s="1" t="n">
        <f aca="false">IF('Duże autobusy'!$D$10="",0, LEN('Duże autobusy'!$D$10) - LEN(SUBSTITUTE('Duże autobusy'!$D$10,",",""))+1)</f>
        <v>3</v>
      </c>
      <c r="E11" s="1" t="n">
        <v>1.8</v>
      </c>
      <c r="F11" s="6" t="n">
        <f aca="false">AVERAGE(9,4,6)</f>
        <v>6.33333333333333</v>
      </c>
      <c r="G11" s="1"/>
    </row>
    <row r="12" customFormat="false" ht="13.8" hidden="false" customHeight="false" outlineLevel="0" collapsed="false">
      <c r="A12" s="1" t="s">
        <v>18</v>
      </c>
      <c r="B12" s="1" t="n">
        <v>280</v>
      </c>
      <c r="C12" s="1" t="n">
        <v>37</v>
      </c>
      <c r="D12" s="1" t="n">
        <f aca="false">IF('Duże autobusy'!$D$11="",0, LEN('Duże autobusy'!$D$11) - LEN(SUBSTITUTE('Duże autobusy'!$D$11,",",""))+1)</f>
        <v>4</v>
      </c>
      <c r="E12" s="1" t="n">
        <v>2</v>
      </c>
      <c r="F12" s="6" t="n">
        <f aca="false">AVERAGE(4,4,1)</f>
        <v>3</v>
      </c>
      <c r="G12" s="1"/>
    </row>
    <row r="13" customFormat="false" ht="13.8" hidden="false" customHeight="false" outlineLevel="0" collapsed="false">
      <c r="A13" s="1" t="s">
        <v>20</v>
      </c>
      <c r="B13" s="1" t="n">
        <v>344</v>
      </c>
      <c r="C13" s="1" t="n">
        <v>40</v>
      </c>
      <c r="D13" s="1" t="n">
        <f aca="false">IF('Duże autobusy'!$D$13="",0, LEN('Duże autobusy'!$D$13) - LEN(SUBSTITUTE('Duże autobusy'!$D$13,",",""))+1)</f>
        <v>3</v>
      </c>
      <c r="E13" s="1" t="n">
        <v>3.25</v>
      </c>
      <c r="F13" s="6" t="n">
        <f aca="false">AVERAGE(10,10,4)</f>
        <v>8</v>
      </c>
      <c r="G13" s="1"/>
    </row>
    <row r="14" customFormat="false" ht="13.8" hidden="false" customHeight="false" outlineLevel="0" collapsed="false">
      <c r="A14" s="1" t="s">
        <v>22</v>
      </c>
      <c r="B14" s="1" t="n">
        <v>277</v>
      </c>
      <c r="C14" s="1" t="n">
        <v>40</v>
      </c>
      <c r="D14" s="1" t="n">
        <f aca="false">IF('Duże autobusy'!$D$14="",0, LEN('Duże autobusy'!$D$14) - LEN(SUBSTITUTE('Duże autobusy'!$D$14,",",""))+1)</f>
        <v>3</v>
      </c>
      <c r="E14" s="1" t="n">
        <v>1</v>
      </c>
      <c r="F14" s="6" t="n">
        <f aca="false">AVERAGE(5,4,3)</f>
        <v>4</v>
      </c>
      <c r="G14" s="1"/>
    </row>
    <row r="15" customFormat="false" ht="13.8" hidden="false" customHeight="false" outlineLevel="0" collapsed="false">
      <c r="A15" s="1" t="s">
        <v>24</v>
      </c>
      <c r="B15" s="1" t="n">
        <v>360</v>
      </c>
      <c r="C15" s="1" t="n">
        <v>44</v>
      </c>
      <c r="D15" s="1" t="n">
        <f aca="false">IF('Duże autobusy'!$D$16="",0, LEN('Duże autobusy'!$D$16) - LEN(SUBSTITUTE('Duże autobusy'!$D$16,",",""))+1)</f>
        <v>4</v>
      </c>
      <c r="E15" s="1" t="n">
        <v>2</v>
      </c>
      <c r="F15" s="6" t="n">
        <f aca="false">AVERAGE(8,9,9)</f>
        <v>8.66666666666667</v>
      </c>
      <c r="G15" s="1"/>
    </row>
    <row r="16" customFormat="false" ht="13.8" hidden="false" customHeight="false" outlineLevel="0" collapsed="false">
      <c r="A16" s="1" t="s">
        <v>26</v>
      </c>
      <c r="B16" s="1" t="n">
        <v>340</v>
      </c>
      <c r="C16" s="1" t="n">
        <v>37</v>
      </c>
      <c r="D16" s="1" t="n">
        <f aca="false">IF('Duże autobusy'!$D$18="",0, LEN('Duże autobusy'!$D$18) - LEN(SUBSTITUTE('Duże autobusy'!$D$18,",",""))+1)</f>
        <v>3</v>
      </c>
      <c r="E16" s="1" t="n">
        <v>2.9</v>
      </c>
      <c r="F16" s="6" t="n">
        <f aca="false">AVERAGE(10,9,10)</f>
        <v>9.66666666666667</v>
      </c>
      <c r="G16" s="1"/>
    </row>
    <row r="17" customFormat="false" ht="13.8" hidden="false" customHeight="false" outlineLevel="0" collapsed="false">
      <c r="G17" s="1"/>
    </row>
    <row r="18" customFormat="false" ht="13.8" hidden="false" customHeight="false" outlineLevel="0" collapsed="false">
      <c r="A18" s="1" t="s">
        <v>46</v>
      </c>
      <c r="B18" s="1" t="n">
        <f aca="false">MAX(B5:B16)</f>
        <v>408</v>
      </c>
      <c r="C18" s="1" t="n">
        <f aca="false">MAX(C5:C16)</f>
        <v>65</v>
      </c>
      <c r="D18" s="1" t="n">
        <f aca="false">MAX(D5:D16)</f>
        <v>4</v>
      </c>
      <c r="E18" s="1" t="n">
        <f aca="false">MIN(E5:E16)</f>
        <v>1</v>
      </c>
      <c r="F18" s="1" t="n">
        <f aca="false">MAX(F5:F16)</f>
        <v>10</v>
      </c>
      <c r="G18" s="1"/>
    </row>
    <row r="19" customFormat="false" ht="13.8" hidden="false" customHeight="false" outlineLevel="0" collapsed="false">
      <c r="A19" s="1" t="s">
        <v>47</v>
      </c>
      <c r="B19" s="1" t="n">
        <v>0.14</v>
      </c>
      <c r="C19" s="1" t="n">
        <v>0.14</v>
      </c>
      <c r="D19" s="1" t="n">
        <v>0.08</v>
      </c>
      <c r="E19" s="1" t="n">
        <v>0.5</v>
      </c>
      <c r="F19" s="1" t="n">
        <v>0.14</v>
      </c>
      <c r="G19" s="1" t="n">
        <f aca="false">SUM(B19:F19)</f>
        <v>1</v>
      </c>
    </row>
    <row r="20" customFormat="false" ht="13.8" hidden="false" customHeight="false" outlineLevel="0" collapsed="false">
      <c r="G20" s="1"/>
    </row>
    <row r="21" customFormat="false" ht="13.8" hidden="false" customHeight="false" outlineLevel="0" collapsed="false">
      <c r="A21" s="2" t="s">
        <v>0</v>
      </c>
      <c r="B21" s="2" t="s">
        <v>1</v>
      </c>
      <c r="C21" s="2" t="s">
        <v>2</v>
      </c>
      <c r="D21" s="2" t="s">
        <v>3</v>
      </c>
      <c r="E21" s="2" t="s">
        <v>48</v>
      </c>
      <c r="F21" s="2" t="s">
        <v>5</v>
      </c>
      <c r="G21" s="2" t="s">
        <v>49</v>
      </c>
    </row>
    <row r="22" customFormat="false" ht="13.8" hidden="false" customHeight="false" outlineLevel="0" collapsed="false">
      <c r="A22" s="1" t="s">
        <v>7</v>
      </c>
      <c r="B22" s="10" t="n">
        <f aca="false">(B5/B$18)*B$19</f>
        <v>0.14</v>
      </c>
      <c r="C22" s="10" t="n">
        <f aca="false">(C5/C$18)*C$19</f>
        <v>0.14</v>
      </c>
      <c r="D22" s="10" t="n">
        <f aca="false">(D5/D$18)*D$19</f>
        <v>0.04</v>
      </c>
      <c r="E22" s="10" t="n">
        <f aca="false">($E$18/E5)*$E$19</f>
        <v>0.227272727272727</v>
      </c>
      <c r="F22" s="10" t="n">
        <f aca="false">(F5/F$18)*F$19</f>
        <v>0.098</v>
      </c>
      <c r="G22" s="11" t="n">
        <f aca="false">SUM(B22:F22)</f>
        <v>0.645272727272727</v>
      </c>
    </row>
    <row r="23" customFormat="false" ht="13.8" hidden="false" customHeight="false" outlineLevel="0" collapsed="false">
      <c r="A23" s="38" t="s">
        <v>9</v>
      </c>
      <c r="B23" s="10" t="n">
        <f aca="false">(B6/B$18)*B$19</f>
        <v>0.109803921568627</v>
      </c>
      <c r="C23" s="10" t="n">
        <f aca="false">(C6/C$18)*C$19</f>
        <v>0.118461538461538</v>
      </c>
      <c r="D23" s="10" t="n">
        <f aca="false">(D6/D$18)*D$19</f>
        <v>0.06</v>
      </c>
      <c r="E23" s="10" t="n">
        <f aca="false">($E$18/E6)*$E$19</f>
        <v>0.208333333333333</v>
      </c>
      <c r="F23" s="10" t="n">
        <f aca="false">(F6/F$18)*F$19</f>
        <v>0.14</v>
      </c>
      <c r="G23" s="11" t="n">
        <f aca="false">SUM(B23:F23)</f>
        <v>0.636598793363499</v>
      </c>
    </row>
    <row r="24" customFormat="false" ht="13.8" hidden="false" customHeight="false" outlineLevel="0" collapsed="false">
      <c r="A24" s="1" t="s">
        <v>11</v>
      </c>
      <c r="B24" s="10" t="n">
        <f aca="false">(B7/B$18)*B$19</f>
        <v>0.106372549019608</v>
      </c>
      <c r="C24" s="10" t="n">
        <f aca="false">(C7/C$18)*C$19</f>
        <v>0.116307692307692</v>
      </c>
      <c r="D24" s="10" t="n">
        <f aca="false">(D7/D$18)*D$19</f>
        <v>0.06</v>
      </c>
      <c r="E24" s="10" t="n">
        <f aca="false">($E$18/E7)*$E$19</f>
        <v>0.277777777777778</v>
      </c>
      <c r="F24" s="10" t="n">
        <f aca="false">(F7/F$18)*F$19</f>
        <v>0.0886666666666667</v>
      </c>
      <c r="G24" s="11" t="n">
        <f aca="false">SUM(B24:F24)</f>
        <v>0.649124685771745</v>
      </c>
    </row>
    <row r="25" customFormat="false" ht="13.8" hidden="false" customHeight="false" outlineLevel="0" collapsed="false">
      <c r="A25" s="39" t="s">
        <v>12</v>
      </c>
      <c r="B25" s="40" t="n">
        <f aca="false">(B8/B$18)*B$19</f>
        <v>0.087843137254902</v>
      </c>
      <c r="C25" s="40" t="n">
        <f aca="false">(C8/C$18)*C$19</f>
        <v>0.0344615384615385</v>
      </c>
      <c r="D25" s="40" t="n">
        <f aca="false">(D8/D$18)*D$19</f>
        <v>0.06</v>
      </c>
      <c r="E25" s="40" t="n">
        <f aca="false">($E$18/E8)*$E$19</f>
        <v>0.5</v>
      </c>
      <c r="F25" s="40" t="n">
        <f aca="false">(F8/F$18)*F$19</f>
        <v>0.121333333333333</v>
      </c>
      <c r="G25" s="41" t="n">
        <f aca="false">SUM(B25:F25)</f>
        <v>0.803638009049774</v>
      </c>
    </row>
    <row r="26" customFormat="false" ht="13.8" hidden="false" customHeight="false" outlineLevel="0" collapsed="false">
      <c r="A26" s="1" t="s">
        <v>13</v>
      </c>
      <c r="B26" s="10" t="n">
        <f aca="false">(B9/B$18)*B$19</f>
        <v>0.109803921568627</v>
      </c>
      <c r="C26" s="10" t="n">
        <f aca="false">(C9/C$18)*C$19</f>
        <v>0.0861538461538462</v>
      </c>
      <c r="D26" s="10" t="n">
        <f aca="false">(D9/D$18)*D$19</f>
        <v>0.06</v>
      </c>
      <c r="E26" s="10" t="n">
        <f aca="false">($E$18/E9)*$E$19</f>
        <v>0.454545454545455</v>
      </c>
      <c r="F26" s="10" t="n">
        <f aca="false">(F9/F$18)*F$19</f>
        <v>0.0653333333333333</v>
      </c>
      <c r="G26" s="11" t="n">
        <f aca="false">SUM(B26:F26)</f>
        <v>0.775836555601262</v>
      </c>
    </row>
    <row r="27" customFormat="false" ht="13.8" hidden="false" customHeight="false" outlineLevel="0" collapsed="false">
      <c r="A27" s="1" t="s">
        <v>15</v>
      </c>
      <c r="B27" s="10" t="n">
        <f aca="false">(B10/B$18)*B$19</f>
        <v>0.111862745098039</v>
      </c>
      <c r="C27" s="10" t="n">
        <f aca="false">(C10/C$18)*C$19</f>
        <v>0.0947692307692308</v>
      </c>
      <c r="D27" s="10" t="n">
        <f aca="false">(D10/D$18)*D$19</f>
        <v>0.08</v>
      </c>
      <c r="E27" s="10" t="n">
        <f aca="false">($E$18/E10)*$E$19</f>
        <v>0.192307692307692</v>
      </c>
      <c r="F27" s="10" t="n">
        <f aca="false">(F10/F$18)*F$19</f>
        <v>0.0886666666666667</v>
      </c>
      <c r="G27" s="11" t="n">
        <f aca="false">SUM(B27:F27)</f>
        <v>0.567606334841629</v>
      </c>
    </row>
    <row r="28" customFormat="false" ht="13.8" hidden="false" customHeight="false" outlineLevel="0" collapsed="false">
      <c r="A28" s="1" t="s">
        <v>17</v>
      </c>
      <c r="B28" s="10" t="n">
        <f aca="false">(B11/B$18)*B$19</f>
        <v>0.0909313725490196</v>
      </c>
      <c r="C28" s="10" t="n">
        <f aca="false">(C11/C$18)*C$19</f>
        <v>0.135692307692308</v>
      </c>
      <c r="D28" s="10" t="n">
        <f aca="false">(D11/D$18)*D$19</f>
        <v>0.06</v>
      </c>
      <c r="E28" s="10" t="n">
        <f aca="false">($E$18/E11)*$E$19</f>
        <v>0.277777777777778</v>
      </c>
      <c r="F28" s="10" t="n">
        <f aca="false">(F11/F$18)*F$19</f>
        <v>0.0886666666666667</v>
      </c>
      <c r="G28" s="11" t="n">
        <f aca="false">SUM(B28:F28)</f>
        <v>0.653068124685772</v>
      </c>
    </row>
    <row r="29" customFormat="false" ht="13.8" hidden="false" customHeight="false" outlineLevel="0" collapsed="false">
      <c r="A29" s="1" t="s">
        <v>18</v>
      </c>
      <c r="B29" s="10" t="n">
        <f aca="false">(B12/B$18)*B$19</f>
        <v>0.096078431372549</v>
      </c>
      <c r="C29" s="10" t="n">
        <f aca="false">(C12/C$18)*C$19</f>
        <v>0.0796923076923077</v>
      </c>
      <c r="D29" s="10" t="n">
        <f aca="false">(D12/D$18)*D$19</f>
        <v>0.08</v>
      </c>
      <c r="E29" s="10" t="n">
        <f aca="false">($E$18/E12)*$E$19</f>
        <v>0.25</v>
      </c>
      <c r="F29" s="10" t="n">
        <f aca="false">(F12/F$18)*F$19</f>
        <v>0.042</v>
      </c>
      <c r="G29" s="11" t="n">
        <f aca="false">SUM(B29:F29)</f>
        <v>0.547770739064857</v>
      </c>
    </row>
    <row r="30" customFormat="false" ht="13.8" hidden="false" customHeight="false" outlineLevel="0" collapsed="false">
      <c r="A30" s="1" t="s">
        <v>20</v>
      </c>
      <c r="B30" s="10" t="n">
        <f aca="false">(B13/B$18)*B$19</f>
        <v>0.118039215686275</v>
      </c>
      <c r="C30" s="10" t="n">
        <f aca="false">(C13/C$18)*C$19</f>
        <v>0.0861538461538462</v>
      </c>
      <c r="D30" s="10" t="n">
        <f aca="false">(D13/D$18)*D$19</f>
        <v>0.06</v>
      </c>
      <c r="E30" s="10" t="n">
        <f aca="false">($E$18/E13)*$E$19</f>
        <v>0.153846153846154</v>
      </c>
      <c r="F30" s="10" t="n">
        <f aca="false">(F13/F$18)*F$19</f>
        <v>0.112</v>
      </c>
      <c r="G30" s="11" t="n">
        <f aca="false">SUM(B30:F30)</f>
        <v>0.530039215686275</v>
      </c>
    </row>
    <row r="31" customFormat="false" ht="13.8" hidden="false" customHeight="false" outlineLevel="0" collapsed="false">
      <c r="A31" s="1" t="s">
        <v>22</v>
      </c>
      <c r="B31" s="10" t="n">
        <f aca="false">(B14/B$18)*B$19</f>
        <v>0.0950490196078432</v>
      </c>
      <c r="C31" s="10" t="n">
        <f aca="false">(C14/C$18)*C$19</f>
        <v>0.0861538461538462</v>
      </c>
      <c r="D31" s="10" t="n">
        <f aca="false">(D14/D$18)*D$19</f>
        <v>0.06</v>
      </c>
      <c r="E31" s="10" t="n">
        <f aca="false">($E$18/E14)*$E$19</f>
        <v>0.5</v>
      </c>
      <c r="F31" s="10" t="n">
        <f aca="false">(F14/F$18)*F$19</f>
        <v>0.056</v>
      </c>
      <c r="G31" s="11" t="n">
        <f aca="false">SUM(B31:F31)</f>
        <v>0.797202865761689</v>
      </c>
    </row>
    <row r="32" customFormat="false" ht="13.8" hidden="false" customHeight="false" outlineLevel="0" collapsed="false">
      <c r="A32" s="1" t="s">
        <v>24</v>
      </c>
      <c r="B32" s="10" t="n">
        <f aca="false">(B15/B$18)*B$19</f>
        <v>0.123529411764706</v>
      </c>
      <c r="C32" s="10" t="n">
        <f aca="false">(C15/C$18)*C$19</f>
        <v>0.0947692307692308</v>
      </c>
      <c r="D32" s="10" t="n">
        <f aca="false">(D15/D$18)*D$19</f>
        <v>0.08</v>
      </c>
      <c r="E32" s="10" t="n">
        <f aca="false">($E$18/E15)*$E$19</f>
        <v>0.25</v>
      </c>
      <c r="F32" s="10" t="n">
        <f aca="false">(F15/F$18)*F$19</f>
        <v>0.121333333333333</v>
      </c>
      <c r="G32" s="11" t="n">
        <f aca="false">SUM(B32:F32)</f>
        <v>0.66963197586727</v>
      </c>
    </row>
    <row r="33" customFormat="false" ht="13.8" hidden="false" customHeight="false" outlineLevel="0" collapsed="false">
      <c r="A33" s="1" t="s">
        <v>26</v>
      </c>
      <c r="B33" s="10" t="n">
        <f aca="false">(B16/B$18)*B$19</f>
        <v>0.116666666666667</v>
      </c>
      <c r="C33" s="10" t="n">
        <f aca="false">(C16/C$18)*C$19</f>
        <v>0.0796923076923077</v>
      </c>
      <c r="D33" s="10" t="n">
        <f aca="false">(D16/D$18)*D$19</f>
        <v>0.06</v>
      </c>
      <c r="E33" s="10" t="n">
        <f aca="false">($E$18/E16)*$E$19</f>
        <v>0.172413793103448</v>
      </c>
      <c r="F33" s="10" t="n">
        <f aca="false">(F16/F$18)*F$19</f>
        <v>0.135333333333333</v>
      </c>
      <c r="G33" s="11" t="n">
        <f aca="false">SUM(B33:F33)</f>
        <v>0.564106100795756</v>
      </c>
    </row>
    <row r="34" customFormat="false" ht="13.8" hidden="false" customHeight="false" outlineLevel="0" collapsed="false"/>
    <row r="35" customFormat="false" ht="13.8" hidden="false" customHeight="false" outlineLevel="0" collapsed="false">
      <c r="A35" s="1" t="s">
        <v>59</v>
      </c>
    </row>
    <row r="36" customFormat="false" ht="13.8" hidden="false" customHeight="false" outlineLevel="0" collapsed="false"/>
    <row r="37" customFormat="false" ht="13.8" hidden="false" customHeight="false" outlineLevel="0" collapsed="false">
      <c r="A37" s="2" t="s">
        <v>0</v>
      </c>
      <c r="B37" s="2" t="s">
        <v>41</v>
      </c>
      <c r="C37" s="2" t="s">
        <v>42</v>
      </c>
      <c r="D37" s="2" t="s">
        <v>43</v>
      </c>
      <c r="E37" s="2" t="s">
        <v>44</v>
      </c>
      <c r="F37" s="2" t="s">
        <v>45</v>
      </c>
      <c r="G37" s="3"/>
    </row>
    <row r="38" customFormat="false" ht="13.8" hidden="false" customHeight="false" outlineLevel="0" collapsed="false">
      <c r="A38" s="1" t="s">
        <v>7</v>
      </c>
      <c r="B38" s="1" t="n">
        <v>408</v>
      </c>
      <c r="C38" s="1" t="n">
        <v>65</v>
      </c>
      <c r="D38" s="1" t="n">
        <f aca="false">IF('Duże autobusy'!$D$3="",0, LEN('Duże autobusy'!$D$3) - LEN(SUBSTITUTE('Duże autobusy'!$D$3,",",""))+1)</f>
        <v>2</v>
      </c>
      <c r="E38" s="1" t="n">
        <v>2.2</v>
      </c>
      <c r="F38" s="6" t="n">
        <f aca="false">AVERAGE(10,6,5)</f>
        <v>7</v>
      </c>
      <c r="G38" s="1"/>
    </row>
    <row r="39" customFormat="false" ht="13.8" hidden="false" customHeight="false" outlineLevel="0" collapsed="false">
      <c r="A39" s="1" t="s">
        <v>9</v>
      </c>
      <c r="B39" s="1" t="n">
        <v>320</v>
      </c>
      <c r="C39" s="1" t="n">
        <v>55</v>
      </c>
      <c r="D39" s="1" t="n">
        <f aca="false">IF('Duże autobusy'!$D$4="",0, LEN('Duże autobusy'!$D$4) - LEN(SUBSTITUTE('Duże autobusy'!$D$4,",",""))+1)</f>
        <v>3</v>
      </c>
      <c r="E39" s="1" t="n">
        <v>2.4</v>
      </c>
      <c r="F39" s="6" t="n">
        <v>10</v>
      </c>
      <c r="G39" s="1"/>
    </row>
    <row r="40" customFormat="false" ht="13.8" hidden="false" customHeight="false" outlineLevel="0" collapsed="false">
      <c r="A40" s="1" t="s">
        <v>11</v>
      </c>
      <c r="B40" s="1" t="n">
        <v>310</v>
      </c>
      <c r="C40" s="1" t="n">
        <v>54</v>
      </c>
      <c r="D40" s="1" t="n">
        <f aca="false">IF('Duże autobusy'!$D$5="",0, LEN('Duże autobusy'!$D$5) - LEN(SUBSTITUTE('Duże autobusy'!$D$5,",",""))+1)</f>
        <v>3</v>
      </c>
      <c r="E40" s="1" t="n">
        <v>1.8</v>
      </c>
      <c r="F40" s="6" t="n">
        <f aca="false">AVERAGE(5,4,10)</f>
        <v>6.33333333333333</v>
      </c>
      <c r="G40" s="1"/>
    </row>
    <row r="41" customFormat="false" ht="13.8" hidden="false" customHeight="false" outlineLevel="0" collapsed="false">
      <c r="A41" s="1" t="s">
        <v>12</v>
      </c>
      <c r="B41" s="1" t="n">
        <v>256</v>
      </c>
      <c r="C41" s="1" t="n">
        <v>16</v>
      </c>
      <c r="D41" s="1" t="n">
        <f aca="false">IF('Duże autobusy'!$D$6="",0, LEN('Duże autobusy'!$D$6) - LEN(SUBSTITUTE('Duże autobusy'!$D$6,",",""))+1)</f>
        <v>3</v>
      </c>
      <c r="E41" s="1" t="n">
        <v>1</v>
      </c>
      <c r="F41" s="6" t="n">
        <f aca="false">AVERAGE(8,8,10)</f>
        <v>8.66666666666667</v>
      </c>
      <c r="G41" s="1"/>
    </row>
    <row r="42" customFormat="false" ht="13.8" hidden="false" customHeight="false" outlineLevel="0" collapsed="false">
      <c r="A42" s="1" t="s">
        <v>13</v>
      </c>
      <c r="B42" s="1" t="n">
        <v>320</v>
      </c>
      <c r="C42" s="1" t="n">
        <v>40</v>
      </c>
      <c r="D42" s="1" t="n">
        <f aca="false">IF('Duże autobusy'!$D$7="",0, LEN('Duże autobusy'!$D$7) - LEN(SUBSTITUTE('Duże autobusy'!$D$7,",",""))+1)</f>
        <v>3</v>
      </c>
      <c r="E42" s="1" t="n">
        <v>1.1</v>
      </c>
      <c r="F42" s="6" t="n">
        <f aca="false">AVERAGE(3,1,10)</f>
        <v>4.66666666666667</v>
      </c>
      <c r="G42" s="1"/>
    </row>
    <row r="43" customFormat="false" ht="13.8" hidden="false" customHeight="false" outlineLevel="0" collapsed="false">
      <c r="A43" s="1" t="s">
        <v>15</v>
      </c>
      <c r="B43" s="1" t="n">
        <v>326</v>
      </c>
      <c r="C43" s="1" t="n">
        <v>44</v>
      </c>
      <c r="D43" s="1" t="n">
        <f aca="false">IF('Duże autobusy'!$D$9="",0, LEN('Duże autobusy'!$D$9) - LEN(SUBSTITUTE('Duże autobusy'!$D$9,",",""))+1)</f>
        <v>4</v>
      </c>
      <c r="E43" s="1" t="n">
        <v>2.6</v>
      </c>
      <c r="F43" s="6" t="n">
        <f aca="false">AVERAGE(7,4,8)</f>
        <v>6.33333333333333</v>
      </c>
      <c r="G43" s="1"/>
    </row>
    <row r="44" customFormat="false" ht="13.8" hidden="false" customHeight="false" outlineLevel="0" collapsed="false">
      <c r="A44" s="1" t="s">
        <v>17</v>
      </c>
      <c r="B44" s="1" t="n">
        <v>265</v>
      </c>
      <c r="C44" s="1" t="n">
        <v>63</v>
      </c>
      <c r="D44" s="1" t="n">
        <f aca="false">IF('Duże autobusy'!$D$10="",0, LEN('Duże autobusy'!$D$10) - LEN(SUBSTITUTE('Duże autobusy'!$D$10,",",""))+1)</f>
        <v>3</v>
      </c>
      <c r="E44" s="1" t="n">
        <v>1.8</v>
      </c>
      <c r="F44" s="6" t="n">
        <f aca="false">AVERAGE(9,4,6)</f>
        <v>6.33333333333333</v>
      </c>
      <c r="G44" s="1"/>
    </row>
    <row r="45" customFormat="false" ht="13.8" hidden="false" customHeight="false" outlineLevel="0" collapsed="false">
      <c r="A45" s="1" t="s">
        <v>18</v>
      </c>
      <c r="B45" s="1" t="n">
        <v>280</v>
      </c>
      <c r="C45" s="1" t="n">
        <v>37</v>
      </c>
      <c r="D45" s="1" t="n">
        <f aca="false">IF('Duże autobusy'!$D$11="",0, LEN('Duże autobusy'!$D$11) - LEN(SUBSTITUTE('Duże autobusy'!$D$11,",",""))+1)</f>
        <v>4</v>
      </c>
      <c r="E45" s="1" t="n">
        <v>2</v>
      </c>
      <c r="F45" s="6" t="n">
        <f aca="false">AVERAGE(4,4,1)</f>
        <v>3</v>
      </c>
      <c r="G45" s="1"/>
    </row>
    <row r="46" customFormat="false" ht="13.8" hidden="false" customHeight="false" outlineLevel="0" collapsed="false">
      <c r="A46" s="1" t="s">
        <v>20</v>
      </c>
      <c r="B46" s="1" t="n">
        <v>344</v>
      </c>
      <c r="C46" s="1" t="n">
        <v>40</v>
      </c>
      <c r="D46" s="1" t="n">
        <f aca="false">IF('Duże autobusy'!$D$13="",0, LEN('Duże autobusy'!$D$13) - LEN(SUBSTITUTE('Duże autobusy'!$D$13,",",""))+1)</f>
        <v>3</v>
      </c>
      <c r="E46" s="1" t="n">
        <v>3.25</v>
      </c>
      <c r="F46" s="6" t="n">
        <f aca="false">AVERAGE(10,10,4)</f>
        <v>8</v>
      </c>
      <c r="G46" s="1"/>
    </row>
    <row r="47" customFormat="false" ht="13.8" hidden="false" customHeight="false" outlineLevel="0" collapsed="false">
      <c r="A47" s="1" t="s">
        <v>22</v>
      </c>
      <c r="B47" s="1" t="n">
        <v>277</v>
      </c>
      <c r="C47" s="1" t="n">
        <v>40</v>
      </c>
      <c r="D47" s="1" t="n">
        <f aca="false">IF('Duże autobusy'!$D$14="",0, LEN('Duże autobusy'!$D$14) - LEN(SUBSTITUTE('Duże autobusy'!$D$14,",",""))+1)</f>
        <v>3</v>
      </c>
      <c r="E47" s="1" t="n">
        <v>1</v>
      </c>
      <c r="F47" s="6" t="n">
        <f aca="false">AVERAGE(5,4,3)</f>
        <v>4</v>
      </c>
      <c r="G47" s="1"/>
    </row>
    <row r="48" customFormat="false" ht="13.8" hidden="false" customHeight="false" outlineLevel="0" collapsed="false">
      <c r="A48" s="1" t="s">
        <v>24</v>
      </c>
      <c r="B48" s="1" t="n">
        <v>360</v>
      </c>
      <c r="C48" s="1" t="n">
        <v>44</v>
      </c>
      <c r="D48" s="1" t="n">
        <f aca="false">IF('Duże autobusy'!$D$16="",0, LEN('Duże autobusy'!$D$16) - LEN(SUBSTITUTE('Duże autobusy'!$D$16,",",""))+1)</f>
        <v>4</v>
      </c>
      <c r="E48" s="1" t="n">
        <v>2</v>
      </c>
      <c r="F48" s="6" t="n">
        <f aca="false">AVERAGE(8,9,9)</f>
        <v>8.66666666666667</v>
      </c>
      <c r="G48" s="1"/>
    </row>
    <row r="49" customFormat="false" ht="13.8" hidden="false" customHeight="false" outlineLevel="0" collapsed="false">
      <c r="A49" s="1" t="s">
        <v>26</v>
      </c>
      <c r="B49" s="1" t="n">
        <v>340</v>
      </c>
      <c r="C49" s="1" t="n">
        <v>37</v>
      </c>
      <c r="D49" s="1" t="n">
        <f aca="false">IF('Duże autobusy'!$D$18="",0, LEN('Duże autobusy'!$D$18) - LEN(SUBSTITUTE('Duże autobusy'!$D$18,",",""))+1)</f>
        <v>3</v>
      </c>
      <c r="E49" s="1" t="n">
        <v>2.9</v>
      </c>
      <c r="F49" s="6" t="n">
        <f aca="false">AVERAGE(10,9,10)</f>
        <v>9.66666666666667</v>
      </c>
      <c r="G49" s="1"/>
    </row>
    <row r="50" customFormat="false" ht="13.8" hidden="false" customHeight="false" outlineLevel="0" collapsed="false">
      <c r="G50" s="1"/>
    </row>
    <row r="51" customFormat="false" ht="13.8" hidden="false" customHeight="false" outlineLevel="0" collapsed="false">
      <c r="A51" s="1" t="s">
        <v>46</v>
      </c>
      <c r="B51" s="1" t="n">
        <f aca="false">MAX(B38:B49)</f>
        <v>408</v>
      </c>
      <c r="C51" s="1" t="n">
        <f aca="false">MAX(C38:C49)</f>
        <v>65</v>
      </c>
      <c r="D51" s="1" t="n">
        <f aca="false">MAX(D38:D49)</f>
        <v>4</v>
      </c>
      <c r="E51" s="1" t="n">
        <f aca="false">MIN(E38:E49)</f>
        <v>1</v>
      </c>
      <c r="F51" s="1" t="n">
        <f aca="false">MAX(F38:F49)</f>
        <v>10</v>
      </c>
      <c r="G51" s="1"/>
    </row>
    <row r="52" customFormat="false" ht="13.8" hidden="false" customHeight="false" outlineLevel="0" collapsed="false">
      <c r="A52" s="1" t="s">
        <v>47</v>
      </c>
      <c r="B52" s="1" t="n">
        <v>0.35</v>
      </c>
      <c r="C52" s="1" t="n">
        <v>0.35</v>
      </c>
      <c r="D52" s="1" t="n">
        <v>0.15</v>
      </c>
      <c r="E52" s="1" t="n">
        <v>0.05</v>
      </c>
      <c r="F52" s="1" t="n">
        <v>0.1</v>
      </c>
      <c r="G52" s="1" t="n">
        <f aca="false">SUM(B52:F52)</f>
        <v>1</v>
      </c>
    </row>
    <row r="53" customFormat="false" ht="13.8" hidden="false" customHeight="false" outlineLevel="0" collapsed="false">
      <c r="G53" s="1"/>
    </row>
    <row r="54" customFormat="false" ht="13.8" hidden="false" customHeight="false" outlineLevel="0" collapsed="false">
      <c r="A54" s="2" t="s">
        <v>0</v>
      </c>
      <c r="B54" s="2" t="s">
        <v>1</v>
      </c>
      <c r="C54" s="2" t="s">
        <v>2</v>
      </c>
      <c r="D54" s="2" t="s">
        <v>3</v>
      </c>
      <c r="E54" s="2" t="s">
        <v>48</v>
      </c>
      <c r="F54" s="2" t="s">
        <v>5</v>
      </c>
      <c r="G54" s="2" t="s">
        <v>49</v>
      </c>
    </row>
    <row r="55" customFormat="false" ht="13.8" hidden="false" customHeight="false" outlineLevel="0" collapsed="false">
      <c r="A55" s="39" t="s">
        <v>7</v>
      </c>
      <c r="B55" s="40" t="n">
        <f aca="false">(B38/B$51)*B$52</f>
        <v>0.35</v>
      </c>
      <c r="C55" s="40" t="n">
        <f aca="false">(C38/C$51)*C$52</f>
        <v>0.35</v>
      </c>
      <c r="D55" s="40" t="n">
        <f aca="false">(D38/D$51)*D$52</f>
        <v>0.075</v>
      </c>
      <c r="E55" s="40" t="n">
        <f aca="false">($E$51/E38)*$E$52</f>
        <v>0.0227272727272727</v>
      </c>
      <c r="F55" s="40" t="n">
        <f aca="false">(F38/F$51)*F$52</f>
        <v>0.07</v>
      </c>
      <c r="G55" s="41" t="n">
        <f aca="false">SUM(B55:F55)</f>
        <v>0.867727272727273</v>
      </c>
    </row>
    <row r="56" customFormat="false" ht="13.8" hidden="false" customHeight="false" outlineLevel="0" collapsed="false">
      <c r="A56" s="38" t="s">
        <v>9</v>
      </c>
      <c r="B56" s="10" t="n">
        <f aca="false">(B39/B$51)*B$52</f>
        <v>0.274509803921569</v>
      </c>
      <c r="C56" s="10" t="n">
        <f aca="false">(C39/C$51)*C$52</f>
        <v>0.296153846153846</v>
      </c>
      <c r="D56" s="10" t="n">
        <f aca="false">(D39/D$51)*D$52</f>
        <v>0.1125</v>
      </c>
      <c r="E56" s="10" t="n">
        <f aca="false">($E$51/E39)*$E$52</f>
        <v>0.0208333333333333</v>
      </c>
      <c r="F56" s="10" t="n">
        <f aca="false">(F39/F$51)*F$52</f>
        <v>0.1</v>
      </c>
      <c r="G56" s="11" t="n">
        <f aca="false">SUM(B56:F56)</f>
        <v>0.803996983408748</v>
      </c>
    </row>
    <row r="57" customFormat="false" ht="13.8" hidden="false" customHeight="false" outlineLevel="0" collapsed="false">
      <c r="A57" s="38" t="s">
        <v>11</v>
      </c>
      <c r="B57" s="10" t="n">
        <f aca="false">(B40/B$51)*B$52</f>
        <v>0.26593137254902</v>
      </c>
      <c r="C57" s="10" t="n">
        <f aca="false">(C40/C$51)*C$52</f>
        <v>0.290769230769231</v>
      </c>
      <c r="D57" s="10" t="n">
        <f aca="false">(D40/D$51)*D$52</f>
        <v>0.1125</v>
      </c>
      <c r="E57" s="10" t="n">
        <f aca="false">($E$51/E40)*$E$52</f>
        <v>0.0277777777777778</v>
      </c>
      <c r="F57" s="10" t="n">
        <f aca="false">(F40/F$51)*F$52</f>
        <v>0.0633333333333333</v>
      </c>
      <c r="G57" s="11" t="n">
        <f aca="false">SUM(B57:F57)</f>
        <v>0.760311714429361</v>
      </c>
    </row>
    <row r="58" customFormat="false" ht="13.8" hidden="false" customHeight="false" outlineLevel="0" collapsed="false">
      <c r="A58" s="38" t="s">
        <v>12</v>
      </c>
      <c r="B58" s="10" t="n">
        <f aca="false">(B41/B$51)*B$52</f>
        <v>0.219607843137255</v>
      </c>
      <c r="C58" s="10" t="n">
        <f aca="false">(C41/C$51)*C$52</f>
        <v>0.0861538461538462</v>
      </c>
      <c r="D58" s="10" t="n">
        <f aca="false">(D41/D$51)*D$52</f>
        <v>0.1125</v>
      </c>
      <c r="E58" s="10" t="n">
        <f aca="false">($E$51/E41)*$E$52</f>
        <v>0.05</v>
      </c>
      <c r="F58" s="10" t="n">
        <f aca="false">(F41/F$51)*F$52</f>
        <v>0.0866666666666667</v>
      </c>
      <c r="G58" s="11" t="n">
        <f aca="false">SUM(B58:F58)</f>
        <v>0.554928355957768</v>
      </c>
    </row>
    <row r="59" customFormat="false" ht="13.8" hidden="false" customHeight="false" outlineLevel="0" collapsed="false">
      <c r="A59" s="38" t="s">
        <v>13</v>
      </c>
      <c r="B59" s="10" t="n">
        <f aca="false">(B42/B$51)*B$52</f>
        <v>0.274509803921569</v>
      </c>
      <c r="C59" s="10" t="n">
        <f aca="false">(C42/C$51)*C$52</f>
        <v>0.215384615384615</v>
      </c>
      <c r="D59" s="10" t="n">
        <f aca="false">(D42/D$51)*D$52</f>
        <v>0.1125</v>
      </c>
      <c r="E59" s="10" t="n">
        <f aca="false">($E$51/E42)*$E$52</f>
        <v>0.0454545454545455</v>
      </c>
      <c r="F59" s="10" t="n">
        <f aca="false">(F42/F$51)*F$52</f>
        <v>0.0466666666666667</v>
      </c>
      <c r="G59" s="11" t="n">
        <f aca="false">SUM(B59:F59)</f>
        <v>0.694515631427396</v>
      </c>
    </row>
    <row r="60" customFormat="false" ht="13.8" hidden="false" customHeight="false" outlineLevel="0" collapsed="false">
      <c r="A60" s="38" t="s">
        <v>15</v>
      </c>
      <c r="B60" s="10" t="n">
        <f aca="false">(B43/B$51)*B$52</f>
        <v>0.279656862745098</v>
      </c>
      <c r="C60" s="10" t="n">
        <f aca="false">(C43/C$51)*C$52</f>
        <v>0.236923076923077</v>
      </c>
      <c r="D60" s="10" t="n">
        <f aca="false">(D43/D$51)*D$52</f>
        <v>0.15</v>
      </c>
      <c r="E60" s="10" t="n">
        <f aca="false">($E$51/E43)*$E$52</f>
        <v>0.0192307692307692</v>
      </c>
      <c r="F60" s="10" t="n">
        <f aca="false">(F43/F$51)*F$52</f>
        <v>0.0633333333333333</v>
      </c>
      <c r="G60" s="11" t="n">
        <f aca="false">SUM(B60:F60)</f>
        <v>0.749144042232278</v>
      </c>
    </row>
    <row r="61" customFormat="false" ht="13.8" hidden="false" customHeight="false" outlineLevel="0" collapsed="false">
      <c r="A61" s="38" t="s">
        <v>17</v>
      </c>
      <c r="B61" s="10" t="n">
        <f aca="false">(B44/B$51)*B$52</f>
        <v>0.227328431372549</v>
      </c>
      <c r="C61" s="10" t="n">
        <f aca="false">(C44/C$51)*C$52</f>
        <v>0.339230769230769</v>
      </c>
      <c r="D61" s="10" t="n">
        <f aca="false">(D44/D$51)*D$52</f>
        <v>0.1125</v>
      </c>
      <c r="E61" s="10" t="n">
        <f aca="false">($E$51/E44)*$E$52</f>
        <v>0.0277777777777778</v>
      </c>
      <c r="F61" s="10" t="n">
        <f aca="false">(F44/F$51)*F$52</f>
        <v>0.0633333333333333</v>
      </c>
      <c r="G61" s="11" t="n">
        <f aca="false">SUM(B61:F61)</f>
        <v>0.770170311714429</v>
      </c>
    </row>
    <row r="62" customFormat="false" ht="13.8" hidden="false" customHeight="false" outlineLevel="0" collapsed="false">
      <c r="A62" s="38" t="s">
        <v>18</v>
      </c>
      <c r="B62" s="10" t="n">
        <f aca="false">(B45/B$51)*B$52</f>
        <v>0.240196078431373</v>
      </c>
      <c r="C62" s="10" t="n">
        <f aca="false">(C45/C$51)*C$52</f>
        <v>0.199230769230769</v>
      </c>
      <c r="D62" s="10" t="n">
        <f aca="false">(D45/D$51)*D$52</f>
        <v>0.15</v>
      </c>
      <c r="E62" s="10" t="n">
        <f aca="false">($E$51/E45)*$E$52</f>
        <v>0.025</v>
      </c>
      <c r="F62" s="10" t="n">
        <f aca="false">(F45/F$51)*F$52</f>
        <v>0.03</v>
      </c>
      <c r="G62" s="11" t="n">
        <f aca="false">SUM(B62:F62)</f>
        <v>0.644426847662142</v>
      </c>
    </row>
    <row r="63" customFormat="false" ht="13.8" hidden="false" customHeight="false" outlineLevel="0" collapsed="false">
      <c r="A63" s="1" t="s">
        <v>20</v>
      </c>
      <c r="B63" s="10" t="n">
        <f aca="false">(B46/B$51)*B$52</f>
        <v>0.295098039215686</v>
      </c>
      <c r="C63" s="10" t="n">
        <f aca="false">(C46/C$51)*C$52</f>
        <v>0.215384615384615</v>
      </c>
      <c r="D63" s="10" t="n">
        <f aca="false">(D46/D$51)*D$52</f>
        <v>0.1125</v>
      </c>
      <c r="E63" s="10" t="n">
        <f aca="false">($E$51/E46)*$E$52</f>
        <v>0.0153846153846154</v>
      </c>
      <c r="F63" s="10" t="n">
        <f aca="false">(F46/F$51)*F$52</f>
        <v>0.08</v>
      </c>
      <c r="G63" s="11" t="n">
        <f aca="false">SUM(B63:F63)</f>
        <v>0.718367269984917</v>
      </c>
    </row>
    <row r="64" customFormat="false" ht="13.8" hidden="false" customHeight="false" outlineLevel="0" collapsed="false">
      <c r="A64" s="1" t="s">
        <v>22</v>
      </c>
      <c r="B64" s="10" t="n">
        <f aca="false">(B47/B$51)*B$52</f>
        <v>0.237622549019608</v>
      </c>
      <c r="C64" s="10" t="n">
        <f aca="false">(C47/C$51)*C$52</f>
        <v>0.215384615384615</v>
      </c>
      <c r="D64" s="10" t="n">
        <f aca="false">(D47/D$51)*D$52</f>
        <v>0.1125</v>
      </c>
      <c r="E64" s="10" t="n">
        <f aca="false">($E$51/E47)*$E$52</f>
        <v>0.05</v>
      </c>
      <c r="F64" s="10" t="n">
        <f aca="false">(F47/F$51)*F$52</f>
        <v>0.04</v>
      </c>
      <c r="G64" s="11" t="n">
        <f aca="false">SUM(B64:F64)</f>
        <v>0.655507164404223</v>
      </c>
    </row>
    <row r="65" customFormat="false" ht="13.8" hidden="false" customHeight="false" outlineLevel="0" collapsed="false">
      <c r="A65" s="1" t="s">
        <v>24</v>
      </c>
      <c r="B65" s="10" t="n">
        <f aca="false">(B48/B$51)*B$52</f>
        <v>0.308823529411765</v>
      </c>
      <c r="C65" s="10" t="n">
        <f aca="false">(C48/C$51)*C$52</f>
        <v>0.236923076923077</v>
      </c>
      <c r="D65" s="10" t="n">
        <f aca="false">(D48/D$51)*D$52</f>
        <v>0.15</v>
      </c>
      <c r="E65" s="10" t="n">
        <f aca="false">($E$51/E48)*$E$52</f>
        <v>0.025</v>
      </c>
      <c r="F65" s="10" t="n">
        <f aca="false">(F48/F$51)*F$52</f>
        <v>0.0866666666666667</v>
      </c>
      <c r="G65" s="11" t="n">
        <f aca="false">SUM(B65:F65)</f>
        <v>0.807413273001508</v>
      </c>
    </row>
    <row r="66" customFormat="false" ht="13.8" hidden="false" customHeight="false" outlineLevel="0" collapsed="false">
      <c r="A66" s="1" t="s">
        <v>26</v>
      </c>
      <c r="B66" s="10" t="n">
        <f aca="false">(B49/B$51)*B$52</f>
        <v>0.291666666666667</v>
      </c>
      <c r="C66" s="10" t="n">
        <f aca="false">(C49/C$51)*C$52</f>
        <v>0.199230769230769</v>
      </c>
      <c r="D66" s="10" t="n">
        <f aca="false">(D49/D$51)*D$52</f>
        <v>0.1125</v>
      </c>
      <c r="E66" s="10" t="n">
        <f aca="false">($E$51/E49)*$E$52</f>
        <v>0.0172413793103448</v>
      </c>
      <c r="F66" s="10" t="n">
        <f aca="false">(F49/F$51)*F$52</f>
        <v>0.0966666666666667</v>
      </c>
      <c r="G66" s="11" t="n">
        <f aca="false">SUM(B66:F66)</f>
        <v>0.717305481874447</v>
      </c>
    </row>
    <row r="67" customFormat="false" ht="13.8" hidden="false" customHeight="false" outlineLevel="0" collapsed="false"/>
    <row r="68" customFormat="false" ht="13.8" hidden="false" customHeight="false" outlineLevel="0" collapsed="false">
      <c r="A68" s="1" t="s">
        <v>60</v>
      </c>
    </row>
    <row r="69" customFormat="false" ht="13.8" hidden="false" customHeight="false" outlineLevel="0" collapsed="false"/>
    <row r="70" customFormat="false" ht="13.8" hidden="false" customHeight="false" outlineLevel="0" collapsed="false">
      <c r="A70" s="2" t="s">
        <v>0</v>
      </c>
      <c r="B70" s="2" t="s">
        <v>41</v>
      </c>
      <c r="C70" s="2" t="s">
        <v>42</v>
      </c>
      <c r="D70" s="2" t="s">
        <v>43</v>
      </c>
      <c r="E70" s="2" t="s">
        <v>44</v>
      </c>
      <c r="F70" s="2" t="s">
        <v>45</v>
      </c>
      <c r="G70" s="3"/>
    </row>
    <row r="71" customFormat="false" ht="13.8" hidden="false" customHeight="false" outlineLevel="0" collapsed="false">
      <c r="A71" s="1" t="s">
        <v>7</v>
      </c>
      <c r="B71" s="1" t="n">
        <v>408</v>
      </c>
      <c r="C71" s="1" t="n">
        <v>65</v>
      </c>
      <c r="D71" s="1" t="n">
        <f aca="false">IF('Duże autobusy'!$D$3="",0, LEN('Duże autobusy'!$D$3) - LEN(SUBSTITUTE('Duże autobusy'!$D$3,",",""))+1)</f>
        <v>2</v>
      </c>
      <c r="E71" s="1" t="n">
        <v>2.2</v>
      </c>
      <c r="F71" s="6" t="n">
        <f aca="false">AVERAGE(10,6,5)</f>
        <v>7</v>
      </c>
      <c r="G71" s="1"/>
    </row>
    <row r="72" customFormat="false" ht="13.8" hidden="false" customHeight="false" outlineLevel="0" collapsed="false">
      <c r="A72" s="1" t="s">
        <v>9</v>
      </c>
      <c r="B72" s="1" t="n">
        <v>320</v>
      </c>
      <c r="C72" s="1" t="n">
        <v>55</v>
      </c>
      <c r="D72" s="1" t="n">
        <f aca="false">IF('Duże autobusy'!$D$4="",0, LEN('Duże autobusy'!$D$4) - LEN(SUBSTITUTE('Duże autobusy'!$D$4,",",""))+1)</f>
        <v>3</v>
      </c>
      <c r="E72" s="1" t="n">
        <v>2.4</v>
      </c>
      <c r="F72" s="6" t="n">
        <v>10</v>
      </c>
      <c r="G72" s="1"/>
    </row>
    <row r="73" customFormat="false" ht="13.8" hidden="false" customHeight="false" outlineLevel="0" collapsed="false">
      <c r="A73" s="1" t="s">
        <v>11</v>
      </c>
      <c r="B73" s="1" t="n">
        <v>310</v>
      </c>
      <c r="C73" s="1" t="n">
        <v>54</v>
      </c>
      <c r="D73" s="1" t="n">
        <f aca="false">IF('Duże autobusy'!$D$5="",0, LEN('Duże autobusy'!$D$5) - LEN(SUBSTITUTE('Duże autobusy'!$D$5,",",""))+1)</f>
        <v>3</v>
      </c>
      <c r="E73" s="1" t="n">
        <v>1.8</v>
      </c>
      <c r="F73" s="6" t="n">
        <f aca="false">AVERAGE(5,4,10)</f>
        <v>6.33333333333333</v>
      </c>
      <c r="G73" s="1"/>
    </row>
    <row r="74" customFormat="false" ht="13.8" hidden="false" customHeight="false" outlineLevel="0" collapsed="false">
      <c r="A74" s="1" t="s">
        <v>12</v>
      </c>
      <c r="B74" s="1" t="n">
        <v>256</v>
      </c>
      <c r="C74" s="1" t="n">
        <v>16</v>
      </c>
      <c r="D74" s="1" t="n">
        <f aca="false">IF('Duże autobusy'!$D$6="",0, LEN('Duże autobusy'!$D$6) - LEN(SUBSTITUTE('Duże autobusy'!$D$6,",",""))+1)</f>
        <v>3</v>
      </c>
      <c r="E74" s="1" t="n">
        <v>1</v>
      </c>
      <c r="F74" s="6" t="n">
        <f aca="false">AVERAGE(8,8,10)</f>
        <v>8.66666666666667</v>
      </c>
      <c r="G74" s="1"/>
    </row>
    <row r="75" customFormat="false" ht="13.8" hidden="false" customHeight="false" outlineLevel="0" collapsed="false">
      <c r="A75" s="1" t="s">
        <v>13</v>
      </c>
      <c r="B75" s="1" t="n">
        <v>320</v>
      </c>
      <c r="C75" s="1" t="n">
        <v>40</v>
      </c>
      <c r="D75" s="1" t="n">
        <f aca="false">IF('Duże autobusy'!$D$7="",0, LEN('Duże autobusy'!$D$7) - LEN(SUBSTITUTE('Duże autobusy'!$D$7,",",""))+1)</f>
        <v>3</v>
      </c>
      <c r="E75" s="1" t="n">
        <v>1.1</v>
      </c>
      <c r="F75" s="6" t="n">
        <f aca="false">AVERAGE(3,1,10)</f>
        <v>4.66666666666667</v>
      </c>
      <c r="G75" s="1"/>
    </row>
    <row r="76" customFormat="false" ht="13.8" hidden="false" customHeight="false" outlineLevel="0" collapsed="false">
      <c r="A76" s="1" t="s">
        <v>15</v>
      </c>
      <c r="B76" s="1" t="n">
        <v>326</v>
      </c>
      <c r="C76" s="1" t="n">
        <v>44</v>
      </c>
      <c r="D76" s="1" t="n">
        <f aca="false">IF('Duże autobusy'!$D$9="",0, LEN('Duże autobusy'!$D$9) - LEN(SUBSTITUTE('Duże autobusy'!$D$9,",",""))+1)</f>
        <v>4</v>
      </c>
      <c r="E76" s="1" t="n">
        <v>2.6</v>
      </c>
      <c r="F76" s="6" t="n">
        <f aca="false">AVERAGE(7,4,8)</f>
        <v>6.33333333333333</v>
      </c>
      <c r="G76" s="1"/>
    </row>
    <row r="77" customFormat="false" ht="13.8" hidden="false" customHeight="false" outlineLevel="0" collapsed="false">
      <c r="A77" s="1" t="s">
        <v>17</v>
      </c>
      <c r="B77" s="1" t="n">
        <v>265</v>
      </c>
      <c r="C77" s="1" t="n">
        <v>63</v>
      </c>
      <c r="D77" s="1" t="n">
        <f aca="false">IF('Duże autobusy'!$D$10="",0, LEN('Duże autobusy'!$D$10) - LEN(SUBSTITUTE('Duże autobusy'!$D$10,",",""))+1)</f>
        <v>3</v>
      </c>
      <c r="E77" s="1" t="n">
        <v>1.8</v>
      </c>
      <c r="F77" s="6" t="n">
        <f aca="false">AVERAGE(9,4,6)</f>
        <v>6.33333333333333</v>
      </c>
      <c r="G77" s="1"/>
    </row>
    <row r="78" customFormat="false" ht="13.8" hidden="false" customHeight="false" outlineLevel="0" collapsed="false">
      <c r="A78" s="1" t="s">
        <v>18</v>
      </c>
      <c r="B78" s="1" t="n">
        <v>280</v>
      </c>
      <c r="C78" s="1" t="n">
        <v>37</v>
      </c>
      <c r="D78" s="1" t="n">
        <f aca="false">IF('Duże autobusy'!$D$11="",0, LEN('Duże autobusy'!$D$11) - LEN(SUBSTITUTE('Duże autobusy'!$D$11,",",""))+1)</f>
        <v>4</v>
      </c>
      <c r="E78" s="1" t="n">
        <v>2</v>
      </c>
      <c r="F78" s="6" t="n">
        <f aca="false">AVERAGE(4,4,1)</f>
        <v>3</v>
      </c>
      <c r="G78" s="1"/>
    </row>
    <row r="79" customFormat="false" ht="13.8" hidden="false" customHeight="false" outlineLevel="0" collapsed="false">
      <c r="A79" s="1" t="s">
        <v>20</v>
      </c>
      <c r="B79" s="1" t="n">
        <v>344</v>
      </c>
      <c r="C79" s="1" t="n">
        <v>40</v>
      </c>
      <c r="D79" s="1" t="n">
        <f aca="false">IF('Duże autobusy'!$D$13="",0, LEN('Duże autobusy'!$D$13) - LEN(SUBSTITUTE('Duże autobusy'!$D$13,",",""))+1)</f>
        <v>3</v>
      </c>
      <c r="E79" s="1" t="n">
        <v>3.25</v>
      </c>
      <c r="F79" s="6" t="n">
        <f aca="false">AVERAGE(10,10,4)</f>
        <v>8</v>
      </c>
      <c r="G79" s="1"/>
    </row>
    <row r="80" customFormat="false" ht="13.8" hidden="false" customHeight="false" outlineLevel="0" collapsed="false">
      <c r="A80" s="1" t="s">
        <v>22</v>
      </c>
      <c r="B80" s="1" t="n">
        <v>277</v>
      </c>
      <c r="C80" s="1" t="n">
        <v>40</v>
      </c>
      <c r="D80" s="1" t="n">
        <f aca="false">IF('Duże autobusy'!$D$14="",0, LEN('Duże autobusy'!$D$14) - LEN(SUBSTITUTE('Duże autobusy'!$D$14,",",""))+1)</f>
        <v>3</v>
      </c>
      <c r="E80" s="1" t="n">
        <v>1</v>
      </c>
      <c r="F80" s="6" t="n">
        <f aca="false">AVERAGE(5,4,3)</f>
        <v>4</v>
      </c>
      <c r="G80" s="1"/>
    </row>
    <row r="81" customFormat="false" ht="13.8" hidden="false" customHeight="false" outlineLevel="0" collapsed="false">
      <c r="A81" s="1" t="s">
        <v>24</v>
      </c>
      <c r="B81" s="1" t="n">
        <v>360</v>
      </c>
      <c r="C81" s="1" t="n">
        <v>44</v>
      </c>
      <c r="D81" s="1" t="n">
        <f aca="false">IF('Duże autobusy'!$D$16="",0, LEN('Duże autobusy'!$D$16) - LEN(SUBSTITUTE('Duże autobusy'!$D$16,",",""))+1)</f>
        <v>4</v>
      </c>
      <c r="E81" s="1" t="n">
        <v>2</v>
      </c>
      <c r="F81" s="6" t="n">
        <f aca="false">AVERAGE(8,9,9)</f>
        <v>8.66666666666667</v>
      </c>
      <c r="G81" s="1"/>
    </row>
    <row r="82" customFormat="false" ht="13.8" hidden="false" customHeight="false" outlineLevel="0" collapsed="false">
      <c r="A82" s="1" t="s">
        <v>26</v>
      </c>
      <c r="B82" s="1" t="n">
        <v>340</v>
      </c>
      <c r="C82" s="1" t="n">
        <v>37</v>
      </c>
      <c r="D82" s="1" t="n">
        <f aca="false">IF('Duże autobusy'!$D$18="",0, LEN('Duże autobusy'!$D$18) - LEN(SUBSTITUTE('Duże autobusy'!$D$18,",",""))+1)</f>
        <v>3</v>
      </c>
      <c r="E82" s="1" t="n">
        <v>2.9</v>
      </c>
      <c r="F82" s="6" t="n">
        <f aca="false">AVERAGE(10,9,10)</f>
        <v>9.66666666666667</v>
      </c>
      <c r="G82" s="1"/>
    </row>
    <row r="83" customFormat="false" ht="13.8" hidden="false" customHeight="false" outlineLevel="0" collapsed="false">
      <c r="G83" s="1"/>
    </row>
    <row r="84" customFormat="false" ht="13.8" hidden="false" customHeight="false" outlineLevel="0" collapsed="false">
      <c r="A84" s="1" t="s">
        <v>46</v>
      </c>
      <c r="B84" s="1" t="n">
        <f aca="false">MAX(B71:B82)</f>
        <v>408</v>
      </c>
      <c r="C84" s="1" t="n">
        <f aca="false">MAX(C71:C82)</f>
        <v>65</v>
      </c>
      <c r="D84" s="1" t="n">
        <f aca="false">MAX(D71:D82)</f>
        <v>4</v>
      </c>
      <c r="E84" s="1" t="n">
        <f aca="false">MIN(E71:E82)</f>
        <v>1</v>
      </c>
      <c r="F84" s="1" t="n">
        <f aca="false">MAX(F71:F82)</f>
        <v>10</v>
      </c>
      <c r="G84" s="1"/>
    </row>
    <row r="85" customFormat="false" ht="13.8" hidden="false" customHeight="false" outlineLevel="0" collapsed="false">
      <c r="A85" s="1" t="s">
        <v>47</v>
      </c>
      <c r="B85" s="1" t="n">
        <v>0.2</v>
      </c>
      <c r="C85" s="1" t="n">
        <v>0.2</v>
      </c>
      <c r="D85" s="1" t="n">
        <v>0.2</v>
      </c>
      <c r="E85" s="1" t="n">
        <v>0.2</v>
      </c>
      <c r="F85" s="1" t="n">
        <v>0.2</v>
      </c>
      <c r="G85" s="1" t="n">
        <f aca="false">SUM(B85:F85)</f>
        <v>1</v>
      </c>
    </row>
    <row r="86" customFormat="false" ht="13.8" hidden="false" customHeight="false" outlineLevel="0" collapsed="false">
      <c r="G86" s="1"/>
    </row>
    <row r="87" customFormat="false" ht="13.8" hidden="false" customHeight="false" outlineLevel="0" collapsed="false">
      <c r="A87" s="2" t="s">
        <v>0</v>
      </c>
      <c r="B87" s="2" t="s">
        <v>1</v>
      </c>
      <c r="C87" s="2" t="s">
        <v>2</v>
      </c>
      <c r="D87" s="2" t="s">
        <v>3</v>
      </c>
      <c r="E87" s="2" t="s">
        <v>48</v>
      </c>
      <c r="F87" s="2" t="s">
        <v>5</v>
      </c>
      <c r="G87" s="2" t="s">
        <v>49</v>
      </c>
    </row>
    <row r="88" customFormat="false" ht="13.8" hidden="false" customHeight="false" outlineLevel="0" collapsed="false">
      <c r="A88" s="1" t="s">
        <v>7</v>
      </c>
      <c r="B88" s="10" t="n">
        <f aca="false">(B71/B$84)*B$85</f>
        <v>0.2</v>
      </c>
      <c r="C88" s="10" t="n">
        <f aca="false">(C71/C$84)*C$85</f>
        <v>0.2</v>
      </c>
      <c r="D88" s="10" t="n">
        <f aca="false">(D71/D$84)*D$85</f>
        <v>0.1</v>
      </c>
      <c r="E88" s="10" t="n">
        <f aca="false">($E$84/E71)*$E$85</f>
        <v>0.0909090909090909</v>
      </c>
      <c r="F88" s="10" t="n">
        <f aca="false">(F71/F$84)*F$85</f>
        <v>0.14</v>
      </c>
      <c r="G88" s="11" t="n">
        <f aca="false">SUM(B88:F88)</f>
        <v>0.730909090909091</v>
      </c>
    </row>
    <row r="89" customFormat="false" ht="13.8" hidden="false" customHeight="false" outlineLevel="0" collapsed="false">
      <c r="A89" s="38" t="s">
        <v>9</v>
      </c>
      <c r="B89" s="10" t="n">
        <f aca="false">(B72/B$84)*B$85</f>
        <v>0.156862745098039</v>
      </c>
      <c r="C89" s="10" t="n">
        <f aca="false">(C72/C$84)*C$85</f>
        <v>0.169230769230769</v>
      </c>
      <c r="D89" s="10" t="n">
        <f aca="false">(D72/D$84)*D$85</f>
        <v>0.15</v>
      </c>
      <c r="E89" s="10" t="n">
        <f aca="false">($E$84/E72)*$E$85</f>
        <v>0.0833333333333333</v>
      </c>
      <c r="F89" s="10" t="n">
        <f aca="false">(F72/F$84)*F$85</f>
        <v>0.2</v>
      </c>
      <c r="G89" s="11" t="n">
        <f aca="false">SUM(B89:F89)</f>
        <v>0.759426847662142</v>
      </c>
    </row>
    <row r="90" customFormat="false" ht="13.8" hidden="false" customHeight="false" outlineLevel="0" collapsed="false">
      <c r="A90" s="1" t="s">
        <v>11</v>
      </c>
      <c r="B90" s="10" t="n">
        <f aca="false">(B73/B$84)*B$85</f>
        <v>0.151960784313726</v>
      </c>
      <c r="C90" s="10" t="n">
        <f aca="false">(C73/C$84)*C$85</f>
        <v>0.166153846153846</v>
      </c>
      <c r="D90" s="10" t="n">
        <f aca="false">(D73/D$84)*D$85</f>
        <v>0.15</v>
      </c>
      <c r="E90" s="10" t="n">
        <f aca="false">($E$84/E73)*$E$85</f>
        <v>0.111111111111111</v>
      </c>
      <c r="F90" s="10" t="n">
        <f aca="false">(F73/F$84)*F$85</f>
        <v>0.126666666666667</v>
      </c>
      <c r="G90" s="11" t="n">
        <f aca="false">SUM(B90:F90)</f>
        <v>0.70589240824535</v>
      </c>
    </row>
    <row r="91" customFormat="false" ht="13.8" hidden="false" customHeight="false" outlineLevel="0" collapsed="false">
      <c r="A91" s="38" t="s">
        <v>12</v>
      </c>
      <c r="B91" s="10" t="n">
        <f aca="false">(B74/B$84)*B$85</f>
        <v>0.125490196078431</v>
      </c>
      <c r="C91" s="10" t="n">
        <f aca="false">(C74/C$84)*C$85</f>
        <v>0.0492307692307692</v>
      </c>
      <c r="D91" s="10" t="n">
        <f aca="false">(D74/D$84)*D$85</f>
        <v>0.15</v>
      </c>
      <c r="E91" s="10" t="n">
        <f aca="false">($E$84/E74)*$E$85</f>
        <v>0.2</v>
      </c>
      <c r="F91" s="10" t="n">
        <f aca="false">(F74/F$84)*F$85</f>
        <v>0.173333333333333</v>
      </c>
      <c r="G91" s="11" t="n">
        <f aca="false">SUM(B91:F91)</f>
        <v>0.698054298642534</v>
      </c>
    </row>
    <row r="92" customFormat="false" ht="13.8" hidden="false" customHeight="false" outlineLevel="0" collapsed="false">
      <c r="A92" s="1" t="s">
        <v>13</v>
      </c>
      <c r="B92" s="10" t="n">
        <f aca="false">(B75/B$84)*B$85</f>
        <v>0.156862745098039</v>
      </c>
      <c r="C92" s="10" t="n">
        <f aca="false">(C75/C$84)*C$85</f>
        <v>0.123076923076923</v>
      </c>
      <c r="D92" s="10" t="n">
        <f aca="false">(D75/D$84)*D$85</f>
        <v>0.15</v>
      </c>
      <c r="E92" s="10" t="n">
        <f aca="false">($E$84/E75)*$E$85</f>
        <v>0.181818181818182</v>
      </c>
      <c r="F92" s="10" t="n">
        <f aca="false">(F75/F$84)*F$85</f>
        <v>0.0933333333333333</v>
      </c>
      <c r="G92" s="11" t="n">
        <f aca="false">SUM(B92:F92)</f>
        <v>0.705091183326478</v>
      </c>
    </row>
    <row r="93" customFormat="false" ht="13.8" hidden="false" customHeight="false" outlineLevel="0" collapsed="false">
      <c r="A93" s="1" t="s">
        <v>15</v>
      </c>
      <c r="B93" s="10" t="n">
        <f aca="false">(B76/B$84)*B$85</f>
        <v>0.159803921568627</v>
      </c>
      <c r="C93" s="10" t="n">
        <f aca="false">(C76/C$84)*C$85</f>
        <v>0.135384615384615</v>
      </c>
      <c r="D93" s="10" t="n">
        <f aca="false">(D76/D$84)*D$85</f>
        <v>0.2</v>
      </c>
      <c r="E93" s="10" t="n">
        <f aca="false">($E$84/E76)*$E$85</f>
        <v>0.0769230769230769</v>
      </c>
      <c r="F93" s="10" t="n">
        <f aca="false">(F76/F$84)*F$85</f>
        <v>0.126666666666667</v>
      </c>
      <c r="G93" s="11" t="n">
        <f aca="false">SUM(B93:F93)</f>
        <v>0.698778280542987</v>
      </c>
    </row>
    <row r="94" customFormat="false" ht="13.8" hidden="false" customHeight="false" outlineLevel="0" collapsed="false">
      <c r="A94" s="1" t="s">
        <v>17</v>
      </c>
      <c r="B94" s="10" t="n">
        <f aca="false">(B77/B$84)*B$85</f>
        <v>0.129901960784314</v>
      </c>
      <c r="C94" s="10" t="n">
        <f aca="false">(C77/C$84)*C$85</f>
        <v>0.193846153846154</v>
      </c>
      <c r="D94" s="10" t="n">
        <f aca="false">(D77/D$84)*D$85</f>
        <v>0.15</v>
      </c>
      <c r="E94" s="10" t="n">
        <f aca="false">($E$84/E77)*$E$85</f>
        <v>0.111111111111111</v>
      </c>
      <c r="F94" s="10" t="n">
        <f aca="false">(F77/F$84)*F$85</f>
        <v>0.126666666666667</v>
      </c>
      <c r="G94" s="11" t="n">
        <f aca="false">SUM(B94:F94)</f>
        <v>0.711525892408246</v>
      </c>
    </row>
    <row r="95" customFormat="false" ht="13.8" hidden="false" customHeight="false" outlineLevel="0" collapsed="false">
      <c r="A95" s="1" t="s">
        <v>18</v>
      </c>
      <c r="B95" s="10" t="n">
        <f aca="false">(B78/B$84)*B$85</f>
        <v>0.137254901960784</v>
      </c>
      <c r="C95" s="10" t="n">
        <f aca="false">(C78/C$84)*C$85</f>
        <v>0.113846153846154</v>
      </c>
      <c r="D95" s="10" t="n">
        <f aca="false">(D78/D$84)*D$85</f>
        <v>0.2</v>
      </c>
      <c r="E95" s="10" t="n">
        <f aca="false">($E$84/E78)*$E$85</f>
        <v>0.1</v>
      </c>
      <c r="F95" s="10" t="n">
        <f aca="false">(F78/F$84)*F$85</f>
        <v>0.06</v>
      </c>
      <c r="G95" s="11" t="n">
        <f aca="false">SUM(B95:F95)</f>
        <v>0.611101055806938</v>
      </c>
    </row>
    <row r="96" customFormat="false" ht="13.8" hidden="false" customHeight="false" outlineLevel="0" collapsed="false">
      <c r="A96" s="1" t="s">
        <v>20</v>
      </c>
      <c r="B96" s="10" t="n">
        <f aca="false">(B79/B$84)*B$85</f>
        <v>0.168627450980392</v>
      </c>
      <c r="C96" s="10" t="n">
        <f aca="false">(C79/C$84)*C$85</f>
        <v>0.123076923076923</v>
      </c>
      <c r="D96" s="10" t="n">
        <f aca="false">(D79/D$84)*D$85</f>
        <v>0.15</v>
      </c>
      <c r="E96" s="10" t="n">
        <f aca="false">($E$84/E79)*$E$85</f>
        <v>0.0615384615384615</v>
      </c>
      <c r="F96" s="10" t="n">
        <f aca="false">(F79/F$84)*F$85</f>
        <v>0.16</v>
      </c>
      <c r="G96" s="11" t="n">
        <f aca="false">SUM(B96:F96)</f>
        <v>0.663242835595777</v>
      </c>
    </row>
    <row r="97" customFormat="false" ht="13.8" hidden="false" customHeight="false" outlineLevel="0" collapsed="false">
      <c r="A97" s="1" t="s">
        <v>22</v>
      </c>
      <c r="B97" s="10" t="n">
        <f aca="false">(B80/B$84)*B$85</f>
        <v>0.13578431372549</v>
      </c>
      <c r="C97" s="10" t="n">
        <f aca="false">(C80/C$84)*C$85</f>
        <v>0.123076923076923</v>
      </c>
      <c r="D97" s="10" t="n">
        <f aca="false">(D80/D$84)*D$85</f>
        <v>0.15</v>
      </c>
      <c r="E97" s="10" t="n">
        <f aca="false">($E$84/E80)*$E$85</f>
        <v>0.2</v>
      </c>
      <c r="F97" s="10" t="n">
        <f aca="false">(F80/F$84)*F$85</f>
        <v>0.08</v>
      </c>
      <c r="G97" s="11" t="n">
        <f aca="false">SUM(B97:F97)</f>
        <v>0.688861236802413</v>
      </c>
    </row>
    <row r="98" customFormat="false" ht="13.8" hidden="false" customHeight="false" outlineLevel="0" collapsed="false">
      <c r="A98" s="39" t="s">
        <v>24</v>
      </c>
      <c r="B98" s="40" t="n">
        <f aca="false">(B81/B$84)*B$85</f>
        <v>0.176470588235294</v>
      </c>
      <c r="C98" s="40" t="n">
        <f aca="false">(C81/C$84)*C$85</f>
        <v>0.135384615384615</v>
      </c>
      <c r="D98" s="40" t="n">
        <f aca="false">(D81/D$84)*D$85</f>
        <v>0.2</v>
      </c>
      <c r="E98" s="40" t="n">
        <f aca="false">($E$84/E81)*$E$85</f>
        <v>0.1</v>
      </c>
      <c r="F98" s="40" t="n">
        <f aca="false">(F81/F$84)*F$85</f>
        <v>0.173333333333333</v>
      </c>
      <c r="G98" s="41" t="n">
        <f aca="false">SUM(B98:F98)</f>
        <v>0.785188536953243</v>
      </c>
    </row>
    <row r="99" customFormat="false" ht="13.8" hidden="false" customHeight="false" outlineLevel="0" collapsed="false">
      <c r="A99" s="1" t="s">
        <v>26</v>
      </c>
      <c r="B99" s="10" t="n">
        <f aca="false">(B82/B$84)*B$85</f>
        <v>0.166666666666667</v>
      </c>
      <c r="C99" s="10" t="n">
        <f aca="false">(C82/C$84)*C$85</f>
        <v>0.113846153846154</v>
      </c>
      <c r="D99" s="10" t="n">
        <f aca="false">(D82/D$84)*D$85</f>
        <v>0.15</v>
      </c>
      <c r="E99" s="10" t="n">
        <f aca="false">($E$84/E82)*$E$85</f>
        <v>0.0689655172413793</v>
      </c>
      <c r="F99" s="10" t="n">
        <f aca="false">(F82/F$84)*F$85</f>
        <v>0.193333333333333</v>
      </c>
      <c r="G99" s="11" t="n">
        <f aca="false">SUM(B99:F99)</f>
        <v>0.692811671087533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Roman,Regularna"&amp;12&amp;Kffffff&amp;A</oddHeader>
    <oddFooter>&amp;C&amp;"Times New Roman,Regularna"&amp;12&amp;KffffffStrona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1" sqref="A32:G32 C17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18.09"/>
    <col collapsed="false" customWidth="true" hidden="false" outlineLevel="0" max="2" min="2" style="1" width="21.27"/>
    <col collapsed="false" customWidth="true" hidden="false" outlineLevel="0" max="3" min="3" style="1" width="26.37"/>
    <col collapsed="false" customWidth="true" hidden="false" outlineLevel="0" max="4" min="4" style="1" width="39.09"/>
    <col collapsed="false" customWidth="true" hidden="false" outlineLevel="0" max="5" min="5" style="1" width="25.04"/>
    <col collapsed="false" customWidth="true" hidden="false" outlineLevel="0" max="6" min="6" style="1" width="12.9"/>
    <col collapsed="false" customWidth="true" hidden="false" outlineLevel="0" max="7" min="7" style="1" width="12.27"/>
  </cols>
  <sheetData>
    <row r="1" customFormat="false" ht="14.25" hidden="false" customHeight="false" outlineLevel="0" collapsed="false">
      <c r="A1" s="2" t="s">
        <v>0</v>
      </c>
      <c r="B1" s="2" t="s">
        <v>41</v>
      </c>
      <c r="C1" s="2" t="s">
        <v>42</v>
      </c>
      <c r="D1" s="2" t="s">
        <v>43</v>
      </c>
      <c r="E1" s="2" t="s">
        <v>44</v>
      </c>
      <c r="F1" s="2" t="s">
        <v>45</v>
      </c>
    </row>
    <row r="2" customFormat="false" ht="14.25" hidden="false" customHeight="false" outlineLevel="0" collapsed="false">
      <c r="A2" s="1" t="s">
        <v>27</v>
      </c>
      <c r="B2" s="1" t="n">
        <v>340</v>
      </c>
      <c r="C2" s="1" t="n">
        <v>33</v>
      </c>
      <c r="D2" s="1" t="n">
        <f aca="false">IF('Średnie autobusy'!D3="",0, LEN('Średnie autobusy'!D3) - LEN(SUBSTITUTE('Średnie autobusy'!D3,",",""))+1)</f>
        <v>3</v>
      </c>
      <c r="E2" s="1" t="n">
        <v>2.6</v>
      </c>
      <c r="F2" s="6" t="n">
        <f aca="false">AVERAGE(6,4,2)</f>
        <v>4</v>
      </c>
    </row>
    <row r="3" customFormat="false" ht="14.25" hidden="false" customHeight="false" outlineLevel="0" collapsed="false">
      <c r="A3" s="1" t="s">
        <v>28</v>
      </c>
      <c r="B3" s="1" t="n">
        <v>218</v>
      </c>
      <c r="C3" s="1" t="n">
        <v>27</v>
      </c>
      <c r="D3" s="1" t="n">
        <f aca="false">IF('Średnie autobusy'!D4="",0, LEN('Średnie autobusy'!D4) - LEN(SUBSTITUTE('Średnie autobusy'!D4,",",""))+1)</f>
        <v>4</v>
      </c>
      <c r="E3" s="1" t="n">
        <v>2.4</v>
      </c>
      <c r="F3" s="6" t="n">
        <f aca="false">AVERAGE(6,8,10)</f>
        <v>8</v>
      </c>
    </row>
    <row r="4" customFormat="false" ht="14.25" hidden="false" customHeight="false" outlineLevel="0" collapsed="false">
      <c r="A4" s="1" t="s">
        <v>29</v>
      </c>
      <c r="B4" s="1" t="n">
        <v>250</v>
      </c>
      <c r="C4" s="1" t="n">
        <v>33</v>
      </c>
      <c r="D4" s="1" t="n">
        <f aca="false">IF('Średnie autobusy'!D5="",0, LEN('Średnie autobusy'!D5) - LEN(SUBSTITUTE('Średnie autobusy'!D5,",",""))+1)</f>
        <v>4</v>
      </c>
      <c r="E4" s="1" t="n">
        <v>1.1</v>
      </c>
      <c r="F4" s="6" t="n">
        <f aca="false">AVERAGE(10,5,5)</f>
        <v>6.66666666666667</v>
      </c>
    </row>
    <row r="5" customFormat="false" ht="14.25" hidden="false" customHeight="false" outlineLevel="0" collapsed="false">
      <c r="A5" s="1" t="s">
        <v>30</v>
      </c>
      <c r="B5" s="1" t="n">
        <v>326</v>
      </c>
      <c r="C5" s="1" t="n">
        <v>36</v>
      </c>
      <c r="D5" s="1" t="n">
        <f aca="false">IF('Średnie autobusy'!D7="",0, LEN('Średnie autobusy'!D7) - LEN(SUBSTITUTE('Średnie autobusy'!D7,",",""))+1)</f>
        <v>4</v>
      </c>
      <c r="E5" s="1" t="n">
        <v>2.6</v>
      </c>
      <c r="F5" s="6" t="n">
        <f aca="false">AVERAGE(5,5,5)</f>
        <v>5</v>
      </c>
    </row>
    <row r="6" customFormat="false" ht="14.25" hidden="false" customHeight="false" outlineLevel="0" collapsed="false">
      <c r="A6" s="1" t="s">
        <v>31</v>
      </c>
      <c r="B6" s="1" t="n">
        <v>210</v>
      </c>
      <c r="C6" s="1" t="n">
        <v>16</v>
      </c>
      <c r="D6" s="1" t="n">
        <f aca="false">IF('Średnie autobusy'!D9="",0, LEN('Średnie autobusy'!D9) - LEN(SUBSTITUTE('Średnie autobusy'!D9,",",""))+1)</f>
        <v>4</v>
      </c>
      <c r="E6" s="1" t="n">
        <v>0.6</v>
      </c>
      <c r="F6" s="6" t="n">
        <f aca="false">AVERAGE(3,6,4)</f>
        <v>4.33333333333333</v>
      </c>
    </row>
    <row r="7" customFormat="false" ht="14.25" hidden="false" customHeight="false" outlineLevel="0" collapsed="false">
      <c r="A7" s="1" t="s">
        <v>33</v>
      </c>
      <c r="B7" s="1" t="n">
        <v>340</v>
      </c>
      <c r="C7" s="1" t="n">
        <v>24</v>
      </c>
      <c r="D7" s="1" t="n">
        <f aca="false">IF('Średnie autobusy'!D10="",0, LEN('Średnie autobusy'!D10) - LEN(SUBSTITUTE('Średnie autobusy'!D10,",",""))+1)</f>
        <v>4</v>
      </c>
      <c r="E7" s="1" t="n">
        <v>2.2</v>
      </c>
      <c r="F7" s="6" t="n">
        <f aca="false">AVERAGE(5,6,4)</f>
        <v>5</v>
      </c>
    </row>
    <row r="8" customFormat="false" ht="14.25" hidden="false" customHeight="false" outlineLevel="0" collapsed="false">
      <c r="A8" s="1" t="s">
        <v>34</v>
      </c>
      <c r="B8" s="1" t="n">
        <v>247</v>
      </c>
      <c r="C8" s="1" t="n">
        <v>26</v>
      </c>
      <c r="D8" s="1" t="n">
        <f aca="false">IF('Średnie autobusy'!D11="",0, LEN('Średnie autobusy'!D11) - LEN(SUBSTITUTE('Średnie autobusy'!D11,",",""))+1)</f>
        <v>3</v>
      </c>
      <c r="E8" s="1" t="n">
        <v>0.9</v>
      </c>
      <c r="F8" s="6" t="n">
        <f aca="false">AVERAGE(5,7,5)</f>
        <v>5.66666666666667</v>
      </c>
    </row>
    <row r="9" customFormat="false" ht="14.25" hidden="false" customHeight="false" outlineLevel="0" collapsed="false">
      <c r="A9" s="1" t="s">
        <v>35</v>
      </c>
      <c r="B9" s="1" t="n">
        <v>299</v>
      </c>
      <c r="C9" s="1" t="n">
        <v>32</v>
      </c>
      <c r="D9" s="1" t="n">
        <f aca="false">IF('Średnie autobusy'!D13="",0, LEN('Średnie autobusy'!D13) - LEN(SUBSTITUTE('Średnie autobusy'!D13,",",""))+1)</f>
        <v>5</v>
      </c>
      <c r="E9" s="1" t="n">
        <v>1.3</v>
      </c>
      <c r="F9" s="6" t="n">
        <f aca="false">AVERAGE(9,9,7)</f>
        <v>8.33333333333333</v>
      </c>
    </row>
    <row r="10" customFormat="false" ht="14.25" hidden="false" customHeight="false" outlineLevel="0" collapsed="false">
      <c r="A10" s="1" t="s">
        <v>38</v>
      </c>
      <c r="B10" s="1" t="n">
        <v>330</v>
      </c>
      <c r="C10" s="1" t="n">
        <v>29</v>
      </c>
      <c r="D10" s="1" t="n">
        <f aca="false">IF('Średnie autobusy'!D15="",0, LEN('Średnie autobusy'!D15) - LEN(SUBSTITUTE('Średnie autobusy'!D15,",",""))+1)</f>
        <v>4</v>
      </c>
      <c r="E10" s="1" t="n">
        <v>1.1</v>
      </c>
      <c r="F10" s="6" t="n">
        <f aca="false">AVERAGE(9,7,10)</f>
        <v>8.66666666666667</v>
      </c>
    </row>
    <row r="11" customFormat="false" ht="14.25" hidden="false" customHeight="false" outlineLevel="0" collapsed="false">
      <c r="A11" s="1" t="s">
        <v>39</v>
      </c>
      <c r="B11" s="1" t="n">
        <v>360</v>
      </c>
      <c r="C11" s="1" t="n">
        <v>47</v>
      </c>
      <c r="D11" s="1" t="n">
        <f aca="false">IF('Średnie autobusy'!D16="",0, LEN('Średnie autobusy'!D16) - LEN(SUBSTITUTE('Średnie autobusy'!D16,",",""))+1)</f>
        <v>3</v>
      </c>
      <c r="E11" s="1" t="n">
        <v>0.9</v>
      </c>
      <c r="F11" s="6" t="n">
        <f aca="false">AVERAGE(8,3,8)</f>
        <v>6.33333333333333</v>
      </c>
    </row>
    <row r="13" customFormat="false" ht="14.25" hidden="false" customHeight="false" outlineLevel="0" collapsed="false">
      <c r="A13" s="1" t="s">
        <v>46</v>
      </c>
      <c r="B13" s="1" t="n">
        <f aca="false">MAX(B2:B11)</f>
        <v>360</v>
      </c>
      <c r="C13" s="1" t="n">
        <f aca="false">MAX(C2:C11)</f>
        <v>47</v>
      </c>
      <c r="D13" s="1" t="n">
        <f aca="false">MAX(D2:D11)</f>
        <v>5</v>
      </c>
      <c r="E13" s="1" t="n">
        <f aca="false">MIN(E2:E11)</f>
        <v>0.6</v>
      </c>
      <c r="F13" s="6" t="n">
        <f aca="false">MAX(F2:F11)</f>
        <v>8.66666666666667</v>
      </c>
    </row>
    <row r="14" customFormat="false" ht="14.25" hidden="false" customHeight="false" outlineLevel="0" collapsed="false">
      <c r="A14" s="1" t="s">
        <v>47</v>
      </c>
      <c r="B14" s="1" t="n">
        <v>0.26</v>
      </c>
      <c r="C14" s="1" t="n">
        <v>0.26</v>
      </c>
      <c r="D14" s="1" t="n">
        <v>0.11</v>
      </c>
      <c r="E14" s="1" t="n">
        <v>0.11</v>
      </c>
      <c r="F14" s="1" t="n">
        <v>0.26</v>
      </c>
      <c r="G14" s="1" t="n">
        <f aca="false">SUM(B14:F14)</f>
        <v>1</v>
      </c>
    </row>
    <row r="16" customFormat="false" ht="14.25" hidden="false" customHeight="false" outlineLevel="0" collapsed="false">
      <c r="A16" s="2" t="s">
        <v>0</v>
      </c>
      <c r="B16" s="2" t="s">
        <v>1</v>
      </c>
      <c r="C16" s="2" t="s">
        <v>2</v>
      </c>
      <c r="D16" s="2" t="s">
        <v>3</v>
      </c>
      <c r="E16" s="2" t="s">
        <v>48</v>
      </c>
      <c r="F16" s="2" t="s">
        <v>5</v>
      </c>
      <c r="G16" s="2" t="s">
        <v>49</v>
      </c>
    </row>
    <row r="17" customFormat="false" ht="14.25" hidden="false" customHeight="false" outlineLevel="0" collapsed="false">
      <c r="A17" s="1" t="s">
        <v>27</v>
      </c>
      <c r="B17" s="10" t="n">
        <f aca="false">(B2/B$13)*B$14</f>
        <v>0.245555555555556</v>
      </c>
      <c r="C17" s="10" t="n">
        <f aca="false">(C2/C$13)*C$14</f>
        <v>0.182553191489362</v>
      </c>
      <c r="D17" s="10" t="n">
        <f aca="false">(D2/D$13)*D$14</f>
        <v>0.066</v>
      </c>
      <c r="E17" s="10" t="n">
        <f aca="false">($E$13/E2)*$E$14</f>
        <v>0.0253846153846154</v>
      </c>
      <c r="F17" s="10" t="n">
        <f aca="false">(F2/F$13)*F$14</f>
        <v>0.12</v>
      </c>
      <c r="G17" s="11" t="n">
        <f aca="false">SUM(B17:F17)</f>
        <v>0.639493362429533</v>
      </c>
    </row>
    <row r="18" customFormat="false" ht="14.25" hidden="false" customHeight="false" outlineLevel="0" collapsed="false">
      <c r="A18" s="1" t="s">
        <v>28</v>
      </c>
      <c r="B18" s="10" t="n">
        <f aca="false">(B3/B$13)*B$14</f>
        <v>0.157444444444444</v>
      </c>
      <c r="C18" s="10" t="n">
        <f aca="false">(C3/C$13)*C$14</f>
        <v>0.14936170212766</v>
      </c>
      <c r="D18" s="10" t="n">
        <f aca="false">(D3/D$13)*D$14</f>
        <v>0.088</v>
      </c>
      <c r="E18" s="10" t="n">
        <f aca="false">($E$13/E3)*$E$14</f>
        <v>0.0275</v>
      </c>
      <c r="F18" s="10" t="n">
        <f aca="false">(F3/F$13)*F$14</f>
        <v>0.24</v>
      </c>
      <c r="G18" s="11" t="n">
        <f aca="false">SUM(B18:F18)</f>
        <v>0.662306146572104</v>
      </c>
    </row>
    <row r="19" customFormat="false" ht="14.25" hidden="false" customHeight="false" outlineLevel="0" collapsed="false">
      <c r="A19" s="1" t="s">
        <v>29</v>
      </c>
      <c r="B19" s="10" t="n">
        <f aca="false">(B4/B$13)*B$14</f>
        <v>0.180555555555556</v>
      </c>
      <c r="C19" s="10" t="n">
        <f aca="false">(C4/C$13)*C$14</f>
        <v>0.182553191489362</v>
      </c>
      <c r="D19" s="10" t="n">
        <f aca="false">(D4/D$13)*D$14</f>
        <v>0.088</v>
      </c>
      <c r="E19" s="10" t="n">
        <f aca="false">($E$13/E4)*$E$14</f>
        <v>0.06</v>
      </c>
      <c r="F19" s="10" t="n">
        <f aca="false">(F4/F$13)*F$14</f>
        <v>0.2</v>
      </c>
      <c r="G19" s="11" t="n">
        <f aca="false">SUM(B19:F19)</f>
        <v>0.711108747044917</v>
      </c>
    </row>
    <row r="20" customFormat="false" ht="14.25" hidden="false" customHeight="false" outlineLevel="0" collapsed="false">
      <c r="A20" s="1" t="s">
        <v>30</v>
      </c>
      <c r="B20" s="10" t="n">
        <f aca="false">(B5/B$13)*B$14</f>
        <v>0.235444444444444</v>
      </c>
      <c r="C20" s="10" t="n">
        <f aca="false">(C5/C$13)*C$14</f>
        <v>0.199148936170213</v>
      </c>
      <c r="D20" s="10" t="n">
        <f aca="false">(D5/D$13)*D$14</f>
        <v>0.088</v>
      </c>
      <c r="E20" s="10" t="n">
        <f aca="false">($E$13/E5)*$E$14</f>
        <v>0.0253846153846154</v>
      </c>
      <c r="F20" s="10" t="n">
        <f aca="false">(F5/F$13)*F$14</f>
        <v>0.15</v>
      </c>
      <c r="G20" s="11" t="n">
        <f aca="false">SUM(B20:F20)</f>
        <v>0.697977995999273</v>
      </c>
    </row>
    <row r="21" customFormat="false" ht="14.25" hidden="false" customHeight="false" outlineLevel="0" collapsed="false">
      <c r="A21" s="1" t="s">
        <v>31</v>
      </c>
      <c r="B21" s="10" t="n">
        <f aca="false">(B6/B$13)*B$14</f>
        <v>0.151666666666667</v>
      </c>
      <c r="C21" s="10" t="n">
        <f aca="false">(C6/C$13)*C$14</f>
        <v>0.0885106382978723</v>
      </c>
      <c r="D21" s="10" t="n">
        <f aca="false">(D6/D$13)*D$14</f>
        <v>0.088</v>
      </c>
      <c r="E21" s="10" t="n">
        <f aca="false">($E$13/E6)*$E$14</f>
        <v>0.11</v>
      </c>
      <c r="F21" s="10" t="n">
        <f aca="false">(F6/F$13)*F$14</f>
        <v>0.13</v>
      </c>
      <c r="G21" s="11" t="n">
        <f aca="false">SUM(B21:F21)</f>
        <v>0.568177304964539</v>
      </c>
    </row>
    <row r="22" customFormat="false" ht="14.25" hidden="false" customHeight="false" outlineLevel="0" collapsed="false">
      <c r="A22" s="1" t="s">
        <v>33</v>
      </c>
      <c r="B22" s="10" t="n">
        <f aca="false">(B7/B$13)*B$14</f>
        <v>0.245555555555556</v>
      </c>
      <c r="C22" s="10" t="n">
        <f aca="false">(C7/C$13)*C$14</f>
        <v>0.132765957446809</v>
      </c>
      <c r="D22" s="10" t="n">
        <f aca="false">(D7/D$13)*D$14</f>
        <v>0.088</v>
      </c>
      <c r="E22" s="10" t="n">
        <f aca="false">($E$13/E7)*$E$14</f>
        <v>0.03</v>
      </c>
      <c r="F22" s="10" t="n">
        <f aca="false">(F7/F$13)*F$14</f>
        <v>0.15</v>
      </c>
      <c r="G22" s="11" t="n">
        <f aca="false">SUM(B22:F22)</f>
        <v>0.646321513002364</v>
      </c>
    </row>
    <row r="23" customFormat="false" ht="14.25" hidden="false" customHeight="false" outlineLevel="0" collapsed="false">
      <c r="A23" s="1" t="s">
        <v>34</v>
      </c>
      <c r="B23" s="10" t="n">
        <f aca="false">(B8/B$13)*B$14</f>
        <v>0.178388888888889</v>
      </c>
      <c r="C23" s="10" t="n">
        <f aca="false">(C8/C$13)*C$14</f>
        <v>0.143829787234043</v>
      </c>
      <c r="D23" s="10" t="n">
        <f aca="false">(D8/D$13)*D$14</f>
        <v>0.066</v>
      </c>
      <c r="E23" s="10" t="n">
        <f aca="false">($E$13/E8)*$E$14</f>
        <v>0.0733333333333333</v>
      </c>
      <c r="F23" s="10" t="n">
        <f aca="false">(F8/F$13)*F$14</f>
        <v>0.17</v>
      </c>
      <c r="G23" s="11" t="n">
        <f aca="false">SUM(B23:F23)</f>
        <v>0.631552009456265</v>
      </c>
    </row>
    <row r="24" customFormat="false" ht="14.25" hidden="false" customHeight="false" outlineLevel="0" collapsed="false">
      <c r="A24" s="1" t="s">
        <v>35</v>
      </c>
      <c r="B24" s="10" t="n">
        <f aca="false">(B9/B$13)*B$14</f>
        <v>0.215944444444444</v>
      </c>
      <c r="C24" s="10" t="n">
        <f aca="false">(C9/C$13)*C$14</f>
        <v>0.177021276595745</v>
      </c>
      <c r="D24" s="10" t="n">
        <f aca="false">(D9/D$13)*D$14</f>
        <v>0.11</v>
      </c>
      <c r="E24" s="10" t="n">
        <f aca="false">($E$13/E9)*$E$14</f>
        <v>0.0507692307692308</v>
      </c>
      <c r="F24" s="10" t="n">
        <f aca="false">(F9/F$13)*F$14</f>
        <v>0.25</v>
      </c>
      <c r="G24" s="11" t="n">
        <f aca="false">SUM(B24:F24)</f>
        <v>0.80373495180942</v>
      </c>
    </row>
    <row r="25" customFormat="false" ht="14.25" hidden="false" customHeight="false" outlineLevel="0" collapsed="false">
      <c r="A25" s="1" t="s">
        <v>38</v>
      </c>
      <c r="B25" s="10" t="n">
        <f aca="false">(B10/B$13)*B$14</f>
        <v>0.238333333333333</v>
      </c>
      <c r="C25" s="10" t="n">
        <f aca="false">(C10/C$13)*C$14</f>
        <v>0.160425531914894</v>
      </c>
      <c r="D25" s="10" t="n">
        <f aca="false">(D10/D$13)*D$14</f>
        <v>0.088</v>
      </c>
      <c r="E25" s="10" t="n">
        <f aca="false">($E$13/E10)*$E$14</f>
        <v>0.06</v>
      </c>
      <c r="F25" s="10" t="n">
        <f aca="false">(F10/F$13)*F$14</f>
        <v>0.26</v>
      </c>
      <c r="G25" s="11" t="n">
        <f aca="false">SUM(B25:F25)</f>
        <v>0.806758865248227</v>
      </c>
    </row>
    <row r="26" customFormat="false" ht="14.25" hidden="false" customHeight="false" outlineLevel="0" collapsed="false">
      <c r="A26" s="12" t="s">
        <v>39</v>
      </c>
      <c r="B26" s="13" t="n">
        <f aca="false">(B11/B$13)*B$14</f>
        <v>0.26</v>
      </c>
      <c r="C26" s="13" t="n">
        <f aca="false">(C11/C$13)*C$14</f>
        <v>0.26</v>
      </c>
      <c r="D26" s="13" t="n">
        <f aca="false">(D11/D$13)*D$14</f>
        <v>0.066</v>
      </c>
      <c r="E26" s="13" t="n">
        <f aca="false">($E$13/E11)*$E$14</f>
        <v>0.0733333333333333</v>
      </c>
      <c r="F26" s="13" t="n">
        <f aca="false">(F11/F$13)*F$14</f>
        <v>0.19</v>
      </c>
      <c r="G26" s="14" t="n">
        <f aca="false">SUM(B26:F26)</f>
        <v>0.849333333333333</v>
      </c>
    </row>
    <row r="29" customFormat="false" ht="14.25" hidden="false" customHeight="false" outlineLevel="0" collapsed="false">
      <c r="A29" s="15"/>
      <c r="B29" s="16" t="s">
        <v>50</v>
      </c>
      <c r="C29" s="17"/>
      <c r="D29" s="17"/>
      <c r="E29" s="17"/>
      <c r="F29" s="17"/>
      <c r="G29" s="18"/>
    </row>
    <row r="30" customFormat="false" ht="14.25" hidden="false" customHeight="false" outlineLevel="0" collapsed="false">
      <c r="A30" s="19" t="s">
        <v>0</v>
      </c>
      <c r="B30" s="20" t="s">
        <v>51</v>
      </c>
      <c r="C30" s="21" t="s">
        <v>52</v>
      </c>
      <c r="D30" s="21" t="s">
        <v>53</v>
      </c>
      <c r="E30" s="21" t="s">
        <v>54</v>
      </c>
      <c r="F30" s="21" t="s">
        <v>55</v>
      </c>
      <c r="G30" s="22" t="s">
        <v>56</v>
      </c>
    </row>
    <row r="31" customFormat="false" ht="14.25" hidden="false" customHeight="false" outlineLevel="0" collapsed="false">
      <c r="A31" s="23" t="s">
        <v>35</v>
      </c>
      <c r="B31" s="24" t="n">
        <v>0.215944444444444</v>
      </c>
      <c r="C31" s="25" t="n">
        <v>0.177021276595745</v>
      </c>
      <c r="D31" s="25" t="n">
        <v>0.11</v>
      </c>
      <c r="E31" s="25" t="n">
        <v>0.0507692307692308</v>
      </c>
      <c r="F31" s="25" t="n">
        <v>0.25</v>
      </c>
      <c r="G31" s="26" t="n">
        <v>0.80373495180942</v>
      </c>
    </row>
    <row r="32" customFormat="false" ht="14.25" hidden="false" customHeight="false" outlineLevel="0" collapsed="false">
      <c r="A32" s="27" t="s">
        <v>38</v>
      </c>
      <c r="B32" s="28" t="n">
        <v>0.238333333333333</v>
      </c>
      <c r="C32" s="29" t="n">
        <v>0.160425531914894</v>
      </c>
      <c r="D32" s="29" t="n">
        <v>0.088</v>
      </c>
      <c r="E32" s="29" t="n">
        <v>0.06</v>
      </c>
      <c r="F32" s="29" t="n">
        <v>0.26</v>
      </c>
      <c r="G32" s="30" t="n">
        <v>0.806758865248227</v>
      </c>
    </row>
    <row r="33" customFormat="false" ht="14.25" hidden="false" customHeight="false" outlineLevel="0" collapsed="false">
      <c r="A33" s="27" t="s">
        <v>39</v>
      </c>
      <c r="B33" s="28" t="n">
        <v>0.26</v>
      </c>
      <c r="C33" s="29" t="n">
        <v>0.26</v>
      </c>
      <c r="D33" s="29" t="n">
        <v>0.066</v>
      </c>
      <c r="E33" s="29" t="n">
        <v>0.0733333333333333</v>
      </c>
      <c r="F33" s="29" t="n">
        <v>0.19</v>
      </c>
      <c r="G33" s="30" t="n">
        <v>0.849333333333333</v>
      </c>
    </row>
    <row r="34" customFormat="false" ht="14.25" hidden="false" customHeight="false" outlineLevel="0" collapsed="false">
      <c r="A34" s="27" t="s">
        <v>30</v>
      </c>
      <c r="B34" s="28" t="n">
        <v>0.235444444444444</v>
      </c>
      <c r="C34" s="29" t="n">
        <v>0.199148936170213</v>
      </c>
      <c r="D34" s="29" t="n">
        <v>0.088</v>
      </c>
      <c r="E34" s="29" t="n">
        <v>0.0253846153846154</v>
      </c>
      <c r="F34" s="29" t="n">
        <v>0.15</v>
      </c>
      <c r="G34" s="30" t="n">
        <v>0.697977995999273</v>
      </c>
    </row>
    <row r="35" customFormat="false" ht="14.25" hidden="false" customHeight="false" outlineLevel="0" collapsed="false">
      <c r="A35" s="27" t="s">
        <v>34</v>
      </c>
      <c r="B35" s="28" t="n">
        <v>0.178388888888889</v>
      </c>
      <c r="C35" s="29" t="n">
        <v>0.143829787234043</v>
      </c>
      <c r="D35" s="29" t="n">
        <v>0.066</v>
      </c>
      <c r="E35" s="29" t="n">
        <v>0.0733333333333333</v>
      </c>
      <c r="F35" s="29" t="n">
        <v>0.17</v>
      </c>
      <c r="G35" s="30" t="n">
        <v>0.631552009456265</v>
      </c>
    </row>
    <row r="36" customFormat="false" ht="14.25" hidden="false" customHeight="false" outlineLevel="0" collapsed="false">
      <c r="A36" s="27" t="s">
        <v>33</v>
      </c>
      <c r="B36" s="28" t="n">
        <v>0.245555555555556</v>
      </c>
      <c r="C36" s="29" t="n">
        <v>0.132765957446809</v>
      </c>
      <c r="D36" s="29" t="n">
        <v>0.088</v>
      </c>
      <c r="E36" s="29" t="n">
        <v>0.03</v>
      </c>
      <c r="F36" s="29" t="n">
        <v>0.15</v>
      </c>
      <c r="G36" s="30" t="n">
        <v>0.646321513002364</v>
      </c>
    </row>
    <row r="37" customFormat="false" ht="14.25" hidden="false" customHeight="false" outlineLevel="0" collapsed="false">
      <c r="A37" s="27" t="s">
        <v>31</v>
      </c>
      <c r="B37" s="28" t="n">
        <v>0.151666666666667</v>
      </c>
      <c r="C37" s="29" t="n">
        <v>0.0885106382978723</v>
      </c>
      <c r="D37" s="29" t="n">
        <v>0.088</v>
      </c>
      <c r="E37" s="29" t="n">
        <v>0.11</v>
      </c>
      <c r="F37" s="29" t="n">
        <v>0.13</v>
      </c>
      <c r="G37" s="30" t="n">
        <v>0.568177304964539</v>
      </c>
    </row>
    <row r="38" customFormat="false" ht="14.25" hidden="false" customHeight="false" outlineLevel="0" collapsed="false">
      <c r="A38" s="27" t="s">
        <v>27</v>
      </c>
      <c r="B38" s="28" t="n">
        <v>0.245555555555556</v>
      </c>
      <c r="C38" s="29" t="n">
        <v>0.182553191489362</v>
      </c>
      <c r="D38" s="29" t="n">
        <v>0.066</v>
      </c>
      <c r="E38" s="29" t="n">
        <v>0.0253846153846154</v>
      </c>
      <c r="F38" s="29" t="n">
        <v>0.12</v>
      </c>
      <c r="G38" s="30" t="n">
        <v>0.639493362429533</v>
      </c>
    </row>
    <row r="39" customFormat="false" ht="14.25" hidden="false" customHeight="false" outlineLevel="0" collapsed="false">
      <c r="A39" s="27" t="s">
        <v>29</v>
      </c>
      <c r="B39" s="28" t="n">
        <v>0.180555555555556</v>
      </c>
      <c r="C39" s="29" t="n">
        <v>0.182553191489362</v>
      </c>
      <c r="D39" s="29" t="n">
        <v>0.088</v>
      </c>
      <c r="E39" s="29" t="n">
        <v>0.06</v>
      </c>
      <c r="F39" s="29" t="n">
        <v>0.2</v>
      </c>
      <c r="G39" s="30" t="n">
        <v>0.711108747044917</v>
      </c>
    </row>
    <row r="40" customFormat="false" ht="14.25" hidden="false" customHeight="false" outlineLevel="0" collapsed="false">
      <c r="A40" s="27" t="s">
        <v>28</v>
      </c>
      <c r="B40" s="31" t="n">
        <v>0.157444444444444</v>
      </c>
      <c r="C40" s="32" t="n">
        <v>0.14936170212766</v>
      </c>
      <c r="D40" s="32" t="n">
        <v>0.088</v>
      </c>
      <c r="E40" s="32" t="n">
        <v>0.0275</v>
      </c>
      <c r="F40" s="32" t="n">
        <v>0.24</v>
      </c>
      <c r="G40" s="33" t="n">
        <v>0.662306146572104</v>
      </c>
    </row>
    <row r="41" customFormat="false" ht="14.25" hidden="false" customHeight="false" outlineLevel="0" collapsed="false">
      <c r="A41" s="34" t="s">
        <v>57</v>
      </c>
      <c r="B41" s="35" t="n">
        <v>2.10888888888889</v>
      </c>
      <c r="C41" s="36" t="n">
        <v>1.67617021276596</v>
      </c>
      <c r="D41" s="36" t="n">
        <v>0.836</v>
      </c>
      <c r="E41" s="36" t="n">
        <v>0.535705128205128</v>
      </c>
      <c r="F41" s="36" t="n">
        <v>1.86</v>
      </c>
      <c r="G41" s="37" t="n">
        <v>7.01676422985998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6"/>
  <sheetViews>
    <sheetView showFormulas="false" showGridLines="true" showRowColHeaders="true" showZeros="true" rightToLeft="false" tabSelected="true" showOutlineSymbols="true" defaultGridColor="true" view="normal" topLeftCell="A42" colorId="64" zoomScale="100" zoomScaleNormal="100" zoomScalePageLayoutView="100" workbookViewId="0">
      <selection pane="topLeft" activeCell="G32" activeCellId="0" sqref="A32:G32"/>
    </sheetView>
  </sheetViews>
  <sheetFormatPr defaultColWidth="10.16015625" defaultRowHeight="12.8" zeroHeight="false" outlineLevelRow="0" outlineLevelCol="0"/>
  <cols>
    <col collapsed="false" customWidth="true" hidden="false" outlineLevel="0" max="1" min="1" style="1" width="19.4"/>
    <col collapsed="false" customWidth="true" hidden="false" outlineLevel="0" max="2" min="2" style="1" width="21.24"/>
    <col collapsed="false" customWidth="true" hidden="false" outlineLevel="0" max="3" min="3" style="1" width="26.63"/>
    <col collapsed="false" customWidth="true" hidden="false" outlineLevel="0" max="4" min="4" style="1" width="40.6"/>
    <col collapsed="false" customWidth="true" hidden="false" outlineLevel="0" max="5" min="5" style="1" width="25.04"/>
  </cols>
  <sheetData>
    <row r="1" customFormat="false" ht="13.8" hidden="false" customHeight="false" outlineLevel="0" collapsed="false"/>
    <row r="2" customFormat="false" ht="13.8" hidden="false" customHeight="false" outlineLevel="0" collapsed="false">
      <c r="A2" s="1" t="s">
        <v>58</v>
      </c>
    </row>
    <row r="3" customFormat="false" ht="13.8" hidden="false" customHeight="false" outlineLevel="0" collapsed="false"/>
    <row r="4" customFormat="false" ht="13.8" hidden="false" customHeight="false" outlineLevel="0" collapsed="false">
      <c r="A4" s="2" t="s">
        <v>0</v>
      </c>
      <c r="B4" s="2" t="s">
        <v>41</v>
      </c>
      <c r="C4" s="2" t="s">
        <v>42</v>
      </c>
      <c r="D4" s="2" t="s">
        <v>43</v>
      </c>
      <c r="E4" s="2" t="s">
        <v>44</v>
      </c>
      <c r="F4" s="2" t="s">
        <v>45</v>
      </c>
      <c r="G4" s="1"/>
    </row>
    <row r="5" customFormat="false" ht="13.8" hidden="false" customHeight="false" outlineLevel="0" collapsed="false">
      <c r="A5" s="1" t="s">
        <v>27</v>
      </c>
      <c r="B5" s="1" t="n">
        <v>340</v>
      </c>
      <c r="C5" s="1" t="n">
        <v>33</v>
      </c>
      <c r="D5" s="1" t="n">
        <f aca="false">IF('Średnie autobusy'!$D$3="",0, LEN('Średnie autobusy'!$D$3) - LEN(SUBSTITUTE('Średnie autobusy'!$D$3,",",""))+1)</f>
        <v>3</v>
      </c>
      <c r="E5" s="1" t="n">
        <v>2.6</v>
      </c>
      <c r="F5" s="6" t="n">
        <f aca="false">AVERAGE(6,4,2)</f>
        <v>4</v>
      </c>
      <c r="G5" s="1"/>
    </row>
    <row r="6" customFormat="false" ht="13.8" hidden="false" customHeight="false" outlineLevel="0" collapsed="false">
      <c r="A6" s="1" t="s">
        <v>28</v>
      </c>
      <c r="B6" s="1" t="n">
        <v>218</v>
      </c>
      <c r="C6" s="1" t="n">
        <v>27</v>
      </c>
      <c r="D6" s="1" t="n">
        <f aca="false">IF('Średnie autobusy'!$D$4="",0, LEN('Średnie autobusy'!$D$4) - LEN(SUBSTITUTE('Średnie autobusy'!$D$4,",",""))+1)</f>
        <v>4</v>
      </c>
      <c r="E6" s="1" t="n">
        <v>2.4</v>
      </c>
      <c r="F6" s="6" t="n">
        <f aca="false">AVERAGE(6,8,10)</f>
        <v>8</v>
      </c>
      <c r="G6" s="1"/>
    </row>
    <row r="7" customFormat="false" ht="13.8" hidden="false" customHeight="false" outlineLevel="0" collapsed="false">
      <c r="A7" s="1" t="s">
        <v>29</v>
      </c>
      <c r="B7" s="1" t="n">
        <v>250</v>
      </c>
      <c r="C7" s="1" t="n">
        <v>33</v>
      </c>
      <c r="D7" s="1" t="n">
        <f aca="false">IF('Średnie autobusy'!$D$5="",0, LEN('Średnie autobusy'!$D$5) - LEN(SUBSTITUTE('Średnie autobusy'!$D$5,",",""))+1)</f>
        <v>4</v>
      </c>
      <c r="E7" s="1" t="n">
        <v>1.1</v>
      </c>
      <c r="F7" s="6" t="n">
        <f aca="false">AVERAGE(10,5,5)</f>
        <v>6.66666666666667</v>
      </c>
      <c r="G7" s="1"/>
    </row>
    <row r="8" customFormat="false" ht="13.8" hidden="false" customHeight="false" outlineLevel="0" collapsed="false">
      <c r="A8" s="1" t="s">
        <v>30</v>
      </c>
      <c r="B8" s="1" t="n">
        <v>326</v>
      </c>
      <c r="C8" s="1" t="n">
        <v>36</v>
      </c>
      <c r="D8" s="1" t="n">
        <f aca="false">IF('Średnie autobusy'!$D$7="",0, LEN('Średnie autobusy'!$D$7) - LEN(SUBSTITUTE('Średnie autobusy'!$D$7,",",""))+1)</f>
        <v>4</v>
      </c>
      <c r="E8" s="1" t="n">
        <v>2.6</v>
      </c>
      <c r="F8" s="6" t="n">
        <f aca="false">AVERAGE(5,5,5)</f>
        <v>5</v>
      </c>
      <c r="G8" s="1"/>
    </row>
    <row r="9" customFormat="false" ht="13.8" hidden="false" customHeight="false" outlineLevel="0" collapsed="false">
      <c r="A9" s="1" t="s">
        <v>31</v>
      </c>
      <c r="B9" s="1" t="n">
        <v>210</v>
      </c>
      <c r="C9" s="1" t="n">
        <v>16</v>
      </c>
      <c r="D9" s="1" t="n">
        <f aca="false">IF('Średnie autobusy'!$D$9="",0, LEN('Średnie autobusy'!$D$9) - LEN(SUBSTITUTE('Średnie autobusy'!$D$9,",",""))+1)</f>
        <v>4</v>
      </c>
      <c r="E9" s="1" t="n">
        <v>0.6</v>
      </c>
      <c r="F9" s="6" t="n">
        <f aca="false">AVERAGE(3,6,4)</f>
        <v>4.33333333333333</v>
      </c>
      <c r="G9" s="1"/>
    </row>
    <row r="10" customFormat="false" ht="13.8" hidden="false" customHeight="false" outlineLevel="0" collapsed="false">
      <c r="A10" s="1" t="s">
        <v>33</v>
      </c>
      <c r="B10" s="1" t="n">
        <v>340</v>
      </c>
      <c r="C10" s="1" t="n">
        <v>24</v>
      </c>
      <c r="D10" s="1" t="n">
        <f aca="false">IF('Średnie autobusy'!$D$10="",0, LEN('Średnie autobusy'!$D$10) - LEN(SUBSTITUTE('Średnie autobusy'!$D$10,",",""))+1)</f>
        <v>4</v>
      </c>
      <c r="E10" s="1" t="n">
        <v>2.2</v>
      </c>
      <c r="F10" s="6" t="n">
        <f aca="false">AVERAGE(5,6,4)</f>
        <v>5</v>
      </c>
      <c r="G10" s="1"/>
    </row>
    <row r="11" customFormat="false" ht="13.8" hidden="false" customHeight="false" outlineLevel="0" collapsed="false">
      <c r="A11" s="1" t="s">
        <v>34</v>
      </c>
      <c r="B11" s="1" t="n">
        <v>247</v>
      </c>
      <c r="C11" s="1" t="n">
        <v>26</v>
      </c>
      <c r="D11" s="1" t="n">
        <f aca="false">IF('Średnie autobusy'!$D$11="",0, LEN('Średnie autobusy'!$D$11) - LEN(SUBSTITUTE('Średnie autobusy'!$D$11,",",""))+1)</f>
        <v>3</v>
      </c>
      <c r="E11" s="1" t="n">
        <v>0.9</v>
      </c>
      <c r="F11" s="6" t="n">
        <f aca="false">AVERAGE(5,7,5)</f>
        <v>5.66666666666667</v>
      </c>
      <c r="G11" s="1"/>
    </row>
    <row r="12" customFormat="false" ht="13.8" hidden="false" customHeight="false" outlineLevel="0" collapsed="false">
      <c r="A12" s="1" t="s">
        <v>35</v>
      </c>
      <c r="B12" s="1" t="n">
        <v>299</v>
      </c>
      <c r="C12" s="1" t="n">
        <v>32</v>
      </c>
      <c r="D12" s="1" t="n">
        <f aca="false">IF('Średnie autobusy'!$D$13="",0, LEN('Średnie autobusy'!$D$13) - LEN(SUBSTITUTE('Średnie autobusy'!$D$13,",",""))+1)</f>
        <v>5</v>
      </c>
      <c r="E12" s="1" t="n">
        <v>1.3</v>
      </c>
      <c r="F12" s="6" t="n">
        <f aca="false">AVERAGE(9,9,7)</f>
        <v>8.33333333333333</v>
      </c>
      <c r="G12" s="1"/>
    </row>
    <row r="13" customFormat="false" ht="13.8" hidden="false" customHeight="false" outlineLevel="0" collapsed="false">
      <c r="A13" s="1" t="s">
        <v>38</v>
      </c>
      <c r="B13" s="1" t="n">
        <v>330</v>
      </c>
      <c r="C13" s="1" t="n">
        <v>29</v>
      </c>
      <c r="D13" s="1" t="n">
        <f aca="false">IF('Średnie autobusy'!$D$15="",0, LEN('Średnie autobusy'!$D$15) - LEN(SUBSTITUTE('Średnie autobusy'!$D$15,",",""))+1)</f>
        <v>4</v>
      </c>
      <c r="E13" s="1" t="n">
        <v>1.1</v>
      </c>
      <c r="F13" s="6" t="n">
        <f aca="false">AVERAGE(9,7,10)</f>
        <v>8.66666666666667</v>
      </c>
      <c r="G13" s="1"/>
    </row>
    <row r="14" customFormat="false" ht="13.8" hidden="false" customHeight="false" outlineLevel="0" collapsed="false">
      <c r="A14" s="1" t="s">
        <v>39</v>
      </c>
      <c r="B14" s="1" t="n">
        <v>360</v>
      </c>
      <c r="C14" s="1" t="n">
        <v>47</v>
      </c>
      <c r="D14" s="1" t="n">
        <f aca="false">IF('Średnie autobusy'!$D$16="",0, LEN('Średnie autobusy'!$D$16) - LEN(SUBSTITUTE('Średnie autobusy'!$D$16,",",""))+1)</f>
        <v>3</v>
      </c>
      <c r="E14" s="1" t="n">
        <v>0.9</v>
      </c>
      <c r="F14" s="6" t="n">
        <f aca="false">AVERAGE(8,3,8)</f>
        <v>6.33333333333333</v>
      </c>
      <c r="G14" s="1"/>
    </row>
    <row r="15" customFormat="false" ht="13.8" hidden="false" customHeight="false" outlineLevel="0" collapsed="false">
      <c r="F15" s="1"/>
      <c r="G15" s="1"/>
    </row>
    <row r="16" customFormat="false" ht="13.8" hidden="false" customHeight="false" outlineLevel="0" collapsed="false">
      <c r="A16" s="1" t="s">
        <v>46</v>
      </c>
      <c r="B16" s="1" t="n">
        <f aca="false">MAX(B5:B14)</f>
        <v>360</v>
      </c>
      <c r="C16" s="1" t="n">
        <f aca="false">MAX(C5:C14)</f>
        <v>47</v>
      </c>
      <c r="D16" s="1" t="n">
        <f aca="false">MAX(D5:D14)</f>
        <v>5</v>
      </c>
      <c r="E16" s="1" t="n">
        <f aca="false">MIN(E5:E14)</f>
        <v>0.6</v>
      </c>
      <c r="F16" s="6" t="n">
        <f aca="false">MAX(F5:F14)</f>
        <v>8.66666666666667</v>
      </c>
      <c r="G16" s="1"/>
    </row>
    <row r="17" customFormat="false" ht="13.8" hidden="false" customHeight="false" outlineLevel="0" collapsed="false">
      <c r="A17" s="1" t="s">
        <v>47</v>
      </c>
      <c r="B17" s="1" t="n">
        <v>0.14</v>
      </c>
      <c r="C17" s="1" t="n">
        <v>0.14</v>
      </c>
      <c r="D17" s="1" t="n">
        <v>0.08</v>
      </c>
      <c r="E17" s="1" t="n">
        <v>0.5</v>
      </c>
      <c r="F17" s="1" t="n">
        <v>0.14</v>
      </c>
      <c r="G17" s="1" t="n">
        <f aca="false">SUM(B17:F17)</f>
        <v>1</v>
      </c>
    </row>
    <row r="18" customFormat="false" ht="13.8" hidden="false" customHeight="false" outlineLevel="0" collapsed="false">
      <c r="F18" s="1"/>
      <c r="G18" s="1"/>
    </row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>
      <c r="A22" s="2" t="s">
        <v>0</v>
      </c>
      <c r="B22" s="2" t="s">
        <v>1</v>
      </c>
      <c r="C22" s="2" t="s">
        <v>2</v>
      </c>
      <c r="D22" s="2" t="s">
        <v>3</v>
      </c>
      <c r="E22" s="2" t="s">
        <v>48</v>
      </c>
      <c r="F22" s="2" t="s">
        <v>5</v>
      </c>
      <c r="G22" s="2" t="s">
        <v>49</v>
      </c>
    </row>
    <row r="23" customFormat="false" ht="13.8" hidden="false" customHeight="false" outlineLevel="0" collapsed="false">
      <c r="A23" s="1" t="s">
        <v>27</v>
      </c>
      <c r="B23" s="10" t="n">
        <f aca="false">(B5/B$16)*B$17</f>
        <v>0.132222222222222</v>
      </c>
      <c r="C23" s="10" t="n">
        <f aca="false">(C5/C$16)*C$17</f>
        <v>0.0982978723404255</v>
      </c>
      <c r="D23" s="10" t="n">
        <f aca="false">(D5/D$16)*D$17</f>
        <v>0.048</v>
      </c>
      <c r="E23" s="10" t="n">
        <f aca="false">($E$16/E5)*$E$17</f>
        <v>0.115384615384615</v>
      </c>
      <c r="F23" s="10" t="n">
        <f aca="false">(F5/F$16)*F$17</f>
        <v>0.0646153846153846</v>
      </c>
      <c r="G23" s="11" t="n">
        <f aca="false">SUM(B23:F23)</f>
        <v>0.458520094562648</v>
      </c>
    </row>
    <row r="24" customFormat="false" ht="13.8" hidden="false" customHeight="false" outlineLevel="0" collapsed="false">
      <c r="A24" s="1" t="s">
        <v>28</v>
      </c>
      <c r="B24" s="10" t="n">
        <f aca="false">(B6/B$16)*B$17</f>
        <v>0.0847777777777778</v>
      </c>
      <c r="C24" s="10" t="n">
        <f aca="false">(C6/C$16)*C$17</f>
        <v>0.0804255319148936</v>
      </c>
      <c r="D24" s="10" t="n">
        <f aca="false">(D6/D$16)*D$17</f>
        <v>0.064</v>
      </c>
      <c r="E24" s="10" t="n">
        <f aca="false">($E$16/E6)*$E$17</f>
        <v>0.125</v>
      </c>
      <c r="F24" s="10" t="n">
        <f aca="false">(F6/F$16)*F$17</f>
        <v>0.129230769230769</v>
      </c>
      <c r="G24" s="11" t="n">
        <f aca="false">SUM(B24:F24)</f>
        <v>0.483434078923441</v>
      </c>
    </row>
    <row r="25" customFormat="false" ht="13.8" hidden="false" customHeight="false" outlineLevel="0" collapsed="false">
      <c r="A25" s="1" t="s">
        <v>29</v>
      </c>
      <c r="B25" s="10" t="n">
        <f aca="false">(B7/B$16)*B$17</f>
        <v>0.0972222222222222</v>
      </c>
      <c r="C25" s="10" t="n">
        <f aca="false">(C7/C$16)*C$17</f>
        <v>0.0982978723404255</v>
      </c>
      <c r="D25" s="10" t="n">
        <f aca="false">(D7/D$16)*D$17</f>
        <v>0.064</v>
      </c>
      <c r="E25" s="10" t="n">
        <f aca="false">($E$16/E7)*$E$17</f>
        <v>0.272727272727273</v>
      </c>
      <c r="F25" s="10" t="n">
        <f aca="false">(F7/F$16)*F$17</f>
        <v>0.107692307692308</v>
      </c>
      <c r="G25" s="11" t="n">
        <f aca="false">SUM(B25:F25)</f>
        <v>0.639939674982228</v>
      </c>
    </row>
    <row r="26" customFormat="false" ht="13.8" hidden="false" customHeight="false" outlineLevel="0" collapsed="false">
      <c r="A26" s="1" t="s">
        <v>30</v>
      </c>
      <c r="B26" s="10" t="n">
        <f aca="false">(B8/B$16)*B$17</f>
        <v>0.126777777777778</v>
      </c>
      <c r="C26" s="10" t="n">
        <f aca="false">(C8/C$16)*C$17</f>
        <v>0.107234042553192</v>
      </c>
      <c r="D26" s="10" t="n">
        <f aca="false">(D8/D$16)*D$17</f>
        <v>0.064</v>
      </c>
      <c r="E26" s="10" t="n">
        <f aca="false">($E$16/E8)*$E$17</f>
        <v>0.115384615384615</v>
      </c>
      <c r="F26" s="10" t="n">
        <f aca="false">(F8/F$16)*F$17</f>
        <v>0.0807692307692308</v>
      </c>
      <c r="G26" s="11" t="n">
        <f aca="false">SUM(B26:F26)</f>
        <v>0.494165666484815</v>
      </c>
    </row>
    <row r="27" customFormat="false" ht="13.8" hidden="false" customHeight="false" outlineLevel="0" collapsed="false">
      <c r="A27" s="1" t="s">
        <v>31</v>
      </c>
      <c r="B27" s="10" t="n">
        <f aca="false">(B9/B$16)*B$17</f>
        <v>0.0816666666666667</v>
      </c>
      <c r="C27" s="10" t="n">
        <f aca="false">(C9/C$16)*C$17</f>
        <v>0.0476595744680851</v>
      </c>
      <c r="D27" s="10" t="n">
        <f aca="false">(D9/D$16)*D$17</f>
        <v>0.064</v>
      </c>
      <c r="E27" s="10" t="n">
        <f aca="false">($E$16/E9)*$E$17</f>
        <v>0.5</v>
      </c>
      <c r="F27" s="10" t="n">
        <f aca="false">(F9/F$16)*F$17</f>
        <v>0.07</v>
      </c>
      <c r="G27" s="11" t="n">
        <f aca="false">SUM(B27:F27)</f>
        <v>0.763326241134752</v>
      </c>
    </row>
    <row r="28" customFormat="false" ht="13.8" hidden="false" customHeight="false" outlineLevel="0" collapsed="false">
      <c r="A28" s="1" t="s">
        <v>33</v>
      </c>
      <c r="B28" s="10" t="n">
        <f aca="false">(B10/B$16)*B$17</f>
        <v>0.132222222222222</v>
      </c>
      <c r="C28" s="10" t="n">
        <f aca="false">(C10/C$16)*C$17</f>
        <v>0.0714893617021277</v>
      </c>
      <c r="D28" s="10" t="n">
        <f aca="false">(D10/D$16)*D$17</f>
        <v>0.064</v>
      </c>
      <c r="E28" s="10" t="n">
        <f aca="false">($E$16/E10)*$E$17</f>
        <v>0.136363636363636</v>
      </c>
      <c r="F28" s="10" t="n">
        <f aca="false">(F10/F$16)*F$17</f>
        <v>0.0807692307692308</v>
      </c>
      <c r="G28" s="11" t="n">
        <f aca="false">SUM(B28:F28)</f>
        <v>0.484844451057217</v>
      </c>
    </row>
    <row r="29" customFormat="false" ht="13.8" hidden="false" customHeight="false" outlineLevel="0" collapsed="false">
      <c r="A29" s="1" t="s">
        <v>34</v>
      </c>
      <c r="B29" s="10" t="n">
        <f aca="false">(B11/B$16)*B$17</f>
        <v>0.0960555555555556</v>
      </c>
      <c r="C29" s="10" t="n">
        <f aca="false">(C11/C$16)*C$17</f>
        <v>0.0774468085106383</v>
      </c>
      <c r="D29" s="10" t="n">
        <f aca="false">(D11/D$16)*D$17</f>
        <v>0.048</v>
      </c>
      <c r="E29" s="10" t="n">
        <f aca="false">($E$16/E11)*$E$17</f>
        <v>0.333333333333333</v>
      </c>
      <c r="F29" s="10" t="n">
        <f aca="false">(F11/F$16)*F$17</f>
        <v>0.0915384615384616</v>
      </c>
      <c r="G29" s="11" t="n">
        <f aca="false">SUM(B29:F29)</f>
        <v>0.646374158937989</v>
      </c>
    </row>
    <row r="30" customFormat="false" ht="13.8" hidden="false" customHeight="false" outlineLevel="0" collapsed="false">
      <c r="A30" s="1" t="s">
        <v>35</v>
      </c>
      <c r="B30" s="10" t="n">
        <f aca="false">(B12/B$16)*B$17</f>
        <v>0.116277777777778</v>
      </c>
      <c r="C30" s="10" t="n">
        <f aca="false">(C12/C$16)*C$17</f>
        <v>0.0953191489361702</v>
      </c>
      <c r="D30" s="10" t="n">
        <f aca="false">(D12/D$16)*D$17</f>
        <v>0.08</v>
      </c>
      <c r="E30" s="10" t="n">
        <f aca="false">($E$16/E12)*$E$17</f>
        <v>0.230769230769231</v>
      </c>
      <c r="F30" s="10" t="n">
        <f aca="false">(F12/F$16)*F$17</f>
        <v>0.134615384615385</v>
      </c>
      <c r="G30" s="11" t="n">
        <f aca="false">SUM(B30:F30)</f>
        <v>0.656981542098563</v>
      </c>
    </row>
    <row r="31" customFormat="false" ht="13.8" hidden="false" customHeight="false" outlineLevel="0" collapsed="false">
      <c r="A31" s="1" t="s">
        <v>38</v>
      </c>
      <c r="B31" s="10" t="n">
        <f aca="false">(B13/B$16)*B$17</f>
        <v>0.128333333333333</v>
      </c>
      <c r="C31" s="10" t="n">
        <f aca="false">(C13/C$16)*C$17</f>
        <v>0.0863829787234043</v>
      </c>
      <c r="D31" s="10" t="n">
        <f aca="false">(D13/D$16)*D$17</f>
        <v>0.064</v>
      </c>
      <c r="E31" s="10" t="n">
        <f aca="false">($E$16/E13)*$E$17</f>
        <v>0.272727272727273</v>
      </c>
      <c r="F31" s="10" t="n">
        <f aca="false">(F13/F$16)*F$17</f>
        <v>0.14</v>
      </c>
      <c r="G31" s="11" t="n">
        <f aca="false">SUM(B31:F31)</f>
        <v>0.69144358478401</v>
      </c>
    </row>
    <row r="32" customFormat="false" ht="13.8" hidden="false" customHeight="false" outlineLevel="0" collapsed="false">
      <c r="A32" s="39" t="s">
        <v>39</v>
      </c>
      <c r="B32" s="40" t="n">
        <f aca="false">(B14/B$16)*B$17</f>
        <v>0.14</v>
      </c>
      <c r="C32" s="40" t="n">
        <f aca="false">(C14/C$16)*C$17</f>
        <v>0.14</v>
      </c>
      <c r="D32" s="40" t="n">
        <f aca="false">(D14/D$16)*D$17</f>
        <v>0.048</v>
      </c>
      <c r="E32" s="40" t="n">
        <f aca="false">($E$16/E14)*$E$17</f>
        <v>0.333333333333333</v>
      </c>
      <c r="F32" s="40" t="n">
        <f aca="false">(F14/F$16)*F$17</f>
        <v>0.102307692307692</v>
      </c>
      <c r="G32" s="41" t="n">
        <f aca="false">SUM(B32:F32)</f>
        <v>0.763641025641026</v>
      </c>
    </row>
    <row r="33" customFormat="false" ht="13.8" hidden="false" customHeight="false" outlineLevel="0" collapsed="false"/>
    <row r="34" customFormat="false" ht="13.8" hidden="false" customHeight="false" outlineLevel="0" collapsed="false">
      <c r="A34" s="1" t="s">
        <v>59</v>
      </c>
    </row>
    <row r="35" customFormat="false" ht="13.8" hidden="false" customHeight="false" outlineLevel="0" collapsed="false"/>
    <row r="36" customFormat="false" ht="13.8" hidden="false" customHeight="false" outlineLevel="0" collapsed="false">
      <c r="A36" s="2" t="s">
        <v>0</v>
      </c>
      <c r="B36" s="2" t="s">
        <v>41</v>
      </c>
      <c r="C36" s="2" t="s">
        <v>42</v>
      </c>
      <c r="D36" s="2" t="s">
        <v>43</v>
      </c>
      <c r="E36" s="2" t="s">
        <v>44</v>
      </c>
      <c r="F36" s="2" t="s">
        <v>45</v>
      </c>
      <c r="G36" s="1"/>
    </row>
    <row r="37" customFormat="false" ht="13.8" hidden="false" customHeight="false" outlineLevel="0" collapsed="false">
      <c r="A37" s="1" t="s">
        <v>27</v>
      </c>
      <c r="B37" s="1" t="n">
        <v>340</v>
      </c>
      <c r="C37" s="1" t="n">
        <v>33</v>
      </c>
      <c r="D37" s="1" t="n">
        <f aca="false">IF('Średnie autobusy'!$D$3="",0, LEN('Średnie autobusy'!$D$3) - LEN(SUBSTITUTE('Średnie autobusy'!$D$3,",",""))+1)</f>
        <v>3</v>
      </c>
      <c r="E37" s="1" t="n">
        <v>2.6</v>
      </c>
      <c r="F37" s="6" t="n">
        <f aca="false">AVERAGE(6,4,2)</f>
        <v>4</v>
      </c>
      <c r="G37" s="1"/>
    </row>
    <row r="38" customFormat="false" ht="13.8" hidden="false" customHeight="false" outlineLevel="0" collapsed="false">
      <c r="A38" s="1" t="s">
        <v>28</v>
      </c>
      <c r="B38" s="1" t="n">
        <v>218</v>
      </c>
      <c r="C38" s="1" t="n">
        <v>27</v>
      </c>
      <c r="D38" s="1" t="n">
        <f aca="false">IF('Średnie autobusy'!$D$4="",0, LEN('Średnie autobusy'!$D$4) - LEN(SUBSTITUTE('Średnie autobusy'!$D$4,",",""))+1)</f>
        <v>4</v>
      </c>
      <c r="E38" s="1" t="n">
        <v>2.4</v>
      </c>
      <c r="F38" s="6" t="n">
        <f aca="false">AVERAGE(6,8,10)</f>
        <v>8</v>
      </c>
      <c r="G38" s="1"/>
    </row>
    <row r="39" customFormat="false" ht="13.8" hidden="false" customHeight="false" outlineLevel="0" collapsed="false">
      <c r="A39" s="1" t="s">
        <v>29</v>
      </c>
      <c r="B39" s="1" t="n">
        <v>250</v>
      </c>
      <c r="C39" s="1" t="n">
        <v>33</v>
      </c>
      <c r="D39" s="1" t="n">
        <f aca="false">IF('Średnie autobusy'!$D$5="",0, LEN('Średnie autobusy'!$D$5) - LEN(SUBSTITUTE('Średnie autobusy'!$D$5,",",""))+1)</f>
        <v>4</v>
      </c>
      <c r="E39" s="1" t="n">
        <v>1.1</v>
      </c>
      <c r="F39" s="6" t="n">
        <f aca="false">AVERAGE(10,5,5)</f>
        <v>6.66666666666667</v>
      </c>
      <c r="G39" s="1"/>
    </row>
    <row r="40" customFormat="false" ht="13.8" hidden="false" customHeight="false" outlineLevel="0" collapsed="false">
      <c r="A40" s="1" t="s">
        <v>30</v>
      </c>
      <c r="B40" s="1" t="n">
        <v>326</v>
      </c>
      <c r="C40" s="1" t="n">
        <v>36</v>
      </c>
      <c r="D40" s="1" t="n">
        <f aca="false">IF('Średnie autobusy'!$D$7="",0, LEN('Średnie autobusy'!$D$7) - LEN(SUBSTITUTE('Średnie autobusy'!$D$7,",",""))+1)</f>
        <v>4</v>
      </c>
      <c r="E40" s="1" t="n">
        <v>2.6</v>
      </c>
      <c r="F40" s="6" t="n">
        <f aca="false">AVERAGE(5,5,5)</f>
        <v>5</v>
      </c>
      <c r="G40" s="1"/>
    </row>
    <row r="41" customFormat="false" ht="13.8" hidden="false" customHeight="false" outlineLevel="0" collapsed="false">
      <c r="A41" s="1" t="s">
        <v>31</v>
      </c>
      <c r="B41" s="1" t="n">
        <v>210</v>
      </c>
      <c r="C41" s="1" t="n">
        <v>16</v>
      </c>
      <c r="D41" s="1" t="n">
        <f aca="false">IF('Średnie autobusy'!$D$9="",0, LEN('Średnie autobusy'!$D$9) - LEN(SUBSTITUTE('Średnie autobusy'!$D$9,",",""))+1)</f>
        <v>4</v>
      </c>
      <c r="E41" s="1" t="n">
        <v>0.6</v>
      </c>
      <c r="F41" s="6" t="n">
        <f aca="false">AVERAGE(3,6,4)</f>
        <v>4.33333333333333</v>
      </c>
      <c r="G41" s="1"/>
    </row>
    <row r="42" customFormat="false" ht="13.8" hidden="false" customHeight="false" outlineLevel="0" collapsed="false">
      <c r="A42" s="1" t="s">
        <v>33</v>
      </c>
      <c r="B42" s="1" t="n">
        <v>340</v>
      </c>
      <c r="C42" s="1" t="n">
        <v>24</v>
      </c>
      <c r="D42" s="1" t="n">
        <f aca="false">IF('Średnie autobusy'!$D$10="",0, LEN('Średnie autobusy'!$D$10) - LEN(SUBSTITUTE('Średnie autobusy'!$D$10,",",""))+1)</f>
        <v>4</v>
      </c>
      <c r="E42" s="1" t="n">
        <v>2.2</v>
      </c>
      <c r="F42" s="6" t="n">
        <f aca="false">AVERAGE(5,6,4)</f>
        <v>5</v>
      </c>
      <c r="G42" s="1"/>
    </row>
    <row r="43" customFormat="false" ht="13.8" hidden="false" customHeight="false" outlineLevel="0" collapsed="false">
      <c r="A43" s="1" t="s">
        <v>34</v>
      </c>
      <c r="B43" s="1" t="n">
        <v>247</v>
      </c>
      <c r="C43" s="1" t="n">
        <v>26</v>
      </c>
      <c r="D43" s="1" t="n">
        <f aca="false">IF('Średnie autobusy'!$D$11="",0, LEN('Średnie autobusy'!$D$11) - LEN(SUBSTITUTE('Średnie autobusy'!$D$11,",",""))+1)</f>
        <v>3</v>
      </c>
      <c r="E43" s="1" t="n">
        <v>0.9</v>
      </c>
      <c r="F43" s="6" t="n">
        <f aca="false">AVERAGE(5,7,5)</f>
        <v>5.66666666666667</v>
      </c>
      <c r="G43" s="1"/>
    </row>
    <row r="44" customFormat="false" ht="13.8" hidden="false" customHeight="false" outlineLevel="0" collapsed="false">
      <c r="A44" s="1" t="s">
        <v>35</v>
      </c>
      <c r="B44" s="1" t="n">
        <v>299</v>
      </c>
      <c r="C44" s="1" t="n">
        <v>32</v>
      </c>
      <c r="D44" s="1" t="n">
        <f aca="false">IF('Średnie autobusy'!$D$13="",0, LEN('Średnie autobusy'!$D$13) - LEN(SUBSTITUTE('Średnie autobusy'!$D$13,",",""))+1)</f>
        <v>5</v>
      </c>
      <c r="E44" s="1" t="n">
        <v>1.3</v>
      </c>
      <c r="F44" s="6" t="n">
        <f aca="false">AVERAGE(9,9,7)</f>
        <v>8.33333333333333</v>
      </c>
      <c r="G44" s="1"/>
    </row>
    <row r="45" customFormat="false" ht="13.8" hidden="false" customHeight="false" outlineLevel="0" collapsed="false">
      <c r="A45" s="1" t="s">
        <v>38</v>
      </c>
      <c r="B45" s="1" t="n">
        <v>330</v>
      </c>
      <c r="C45" s="1" t="n">
        <v>29</v>
      </c>
      <c r="D45" s="1" t="n">
        <f aca="false">IF('Średnie autobusy'!$D$15="",0, LEN('Średnie autobusy'!$D$15) - LEN(SUBSTITUTE('Średnie autobusy'!$D$15,",",""))+1)</f>
        <v>4</v>
      </c>
      <c r="E45" s="1" t="n">
        <v>1.1</v>
      </c>
      <c r="F45" s="6" t="n">
        <f aca="false">AVERAGE(9,7,10)</f>
        <v>8.66666666666667</v>
      </c>
      <c r="G45" s="1"/>
    </row>
    <row r="46" customFormat="false" ht="13.8" hidden="false" customHeight="false" outlineLevel="0" collapsed="false">
      <c r="A46" s="1" t="s">
        <v>39</v>
      </c>
      <c r="B46" s="1" t="n">
        <v>360</v>
      </c>
      <c r="C46" s="1" t="n">
        <v>47</v>
      </c>
      <c r="D46" s="1" t="n">
        <f aca="false">IF('Średnie autobusy'!$D$16="",0, LEN('Średnie autobusy'!$D$16) - LEN(SUBSTITUTE('Średnie autobusy'!$D$16,",",""))+1)</f>
        <v>3</v>
      </c>
      <c r="E46" s="1" t="n">
        <v>0.9</v>
      </c>
      <c r="F46" s="6" t="n">
        <f aca="false">AVERAGE(8,3,8)</f>
        <v>6.33333333333333</v>
      </c>
      <c r="G46" s="1"/>
    </row>
    <row r="47" customFormat="false" ht="13.8" hidden="false" customHeight="false" outlineLevel="0" collapsed="false">
      <c r="F47" s="1"/>
      <c r="G47" s="1"/>
    </row>
    <row r="48" customFormat="false" ht="13.8" hidden="false" customHeight="false" outlineLevel="0" collapsed="false">
      <c r="A48" s="1" t="s">
        <v>46</v>
      </c>
      <c r="B48" s="1" t="n">
        <f aca="false">MAX(B37:B46)</f>
        <v>360</v>
      </c>
      <c r="C48" s="1" t="n">
        <f aca="false">MAX(C37:C46)</f>
        <v>47</v>
      </c>
      <c r="D48" s="1" t="n">
        <f aca="false">MAX(D37:D46)</f>
        <v>5</v>
      </c>
      <c r="E48" s="1" t="n">
        <f aca="false">MIN(E37:E46)</f>
        <v>0.6</v>
      </c>
      <c r="F48" s="6" t="n">
        <f aca="false">MAX(F37:F46)</f>
        <v>8.66666666666667</v>
      </c>
      <c r="G48" s="1"/>
    </row>
    <row r="49" customFormat="false" ht="13.8" hidden="false" customHeight="false" outlineLevel="0" collapsed="false">
      <c r="A49" s="1" t="s">
        <v>47</v>
      </c>
      <c r="B49" s="1" t="n">
        <v>0.35</v>
      </c>
      <c r="C49" s="1" t="n">
        <v>0.35</v>
      </c>
      <c r="D49" s="1" t="n">
        <v>0.15</v>
      </c>
      <c r="E49" s="1" t="n">
        <v>0.05</v>
      </c>
      <c r="F49" s="1" t="n">
        <v>0.1</v>
      </c>
      <c r="G49" s="1" t="n">
        <f aca="false">SUM(B49:F49)</f>
        <v>1</v>
      </c>
    </row>
    <row r="50" customFormat="false" ht="13.8" hidden="false" customHeight="false" outlineLevel="0" collapsed="false">
      <c r="F50" s="1"/>
      <c r="G50" s="1"/>
    </row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>
      <c r="A54" s="2" t="s">
        <v>0</v>
      </c>
      <c r="B54" s="2" t="s">
        <v>1</v>
      </c>
      <c r="C54" s="2" t="s">
        <v>2</v>
      </c>
      <c r="D54" s="2" t="s">
        <v>3</v>
      </c>
      <c r="E54" s="2" t="s">
        <v>48</v>
      </c>
      <c r="F54" s="2" t="s">
        <v>5</v>
      </c>
      <c r="G54" s="2" t="s">
        <v>49</v>
      </c>
    </row>
    <row r="55" customFormat="false" ht="13.8" hidden="false" customHeight="false" outlineLevel="0" collapsed="false">
      <c r="A55" s="1" t="s">
        <v>27</v>
      </c>
      <c r="B55" s="10" t="n">
        <f aca="false">(B37/B$16)*B$49</f>
        <v>0.330555555555556</v>
      </c>
      <c r="C55" s="10" t="n">
        <f aca="false">(C37/C$48)*C$49</f>
        <v>0.245744680851064</v>
      </c>
      <c r="D55" s="10" t="n">
        <f aca="false">(D37/D$48)*D$49</f>
        <v>0.09</v>
      </c>
      <c r="E55" s="10" t="n">
        <f aca="false">($E$48/E37)*$E$49</f>
        <v>0.0115384615384615</v>
      </c>
      <c r="F55" s="10" t="n">
        <f aca="false">(F37/F$16)*F$49</f>
        <v>0.0461538461538462</v>
      </c>
      <c r="G55" s="11" t="n">
        <f aca="false">SUM(B55:F55)</f>
        <v>0.723992544098928</v>
      </c>
    </row>
    <row r="56" customFormat="false" ht="13.8" hidden="false" customHeight="false" outlineLevel="0" collapsed="false">
      <c r="A56" s="1" t="s">
        <v>28</v>
      </c>
      <c r="B56" s="10" t="n">
        <f aca="false">(B38/B$16)*B$49</f>
        <v>0.211944444444444</v>
      </c>
      <c r="C56" s="10" t="n">
        <f aca="false">(C38/C$48)*C$49</f>
        <v>0.201063829787234</v>
      </c>
      <c r="D56" s="10" t="n">
        <f aca="false">(D38/D$48)*D$49</f>
        <v>0.12</v>
      </c>
      <c r="E56" s="10" t="n">
        <f aca="false">($E$48/E38)*$E$49</f>
        <v>0.0125</v>
      </c>
      <c r="F56" s="10" t="n">
        <f aca="false">(F38/F$16)*F$49</f>
        <v>0.0923076923076923</v>
      </c>
      <c r="G56" s="11" t="n">
        <f aca="false">SUM(B56:F56)</f>
        <v>0.63781596653937</v>
      </c>
    </row>
    <row r="57" customFormat="false" ht="13.8" hidden="false" customHeight="false" outlineLevel="0" collapsed="false">
      <c r="A57" s="1" t="s">
        <v>29</v>
      </c>
      <c r="B57" s="10" t="n">
        <f aca="false">(B39/B$16)*B$49</f>
        <v>0.243055555555556</v>
      </c>
      <c r="C57" s="10" t="n">
        <f aca="false">(C39/C$48)*C$49</f>
        <v>0.245744680851064</v>
      </c>
      <c r="D57" s="10" t="n">
        <f aca="false">(D39/D$48)*D$49</f>
        <v>0.12</v>
      </c>
      <c r="E57" s="10" t="n">
        <f aca="false">($E$48/E39)*$E$49</f>
        <v>0.0272727272727273</v>
      </c>
      <c r="F57" s="10" t="n">
        <f aca="false">(F39/F$16)*F$49</f>
        <v>0.0769230769230769</v>
      </c>
      <c r="G57" s="11" t="n">
        <f aca="false">SUM(B57:F57)</f>
        <v>0.712996040602424</v>
      </c>
    </row>
    <row r="58" customFormat="false" ht="13.8" hidden="false" customHeight="false" outlineLevel="0" collapsed="false">
      <c r="A58" s="1" t="s">
        <v>30</v>
      </c>
      <c r="B58" s="10" t="n">
        <f aca="false">(B40/B$16)*B$49</f>
        <v>0.316944444444444</v>
      </c>
      <c r="C58" s="10" t="n">
        <f aca="false">(C40/C$48)*C$49</f>
        <v>0.268085106382979</v>
      </c>
      <c r="D58" s="10" t="n">
        <f aca="false">(D40/D$48)*D$49</f>
        <v>0.12</v>
      </c>
      <c r="E58" s="10" t="n">
        <f aca="false">($E$48/E40)*$E$49</f>
        <v>0.0115384615384615</v>
      </c>
      <c r="F58" s="10" t="n">
        <f aca="false">(F40/F$16)*F$49</f>
        <v>0.0576923076923077</v>
      </c>
      <c r="G58" s="11" t="n">
        <f aca="false">SUM(B58:F58)</f>
        <v>0.774260320058192</v>
      </c>
    </row>
    <row r="59" customFormat="false" ht="13.8" hidden="false" customHeight="false" outlineLevel="0" collapsed="false">
      <c r="A59" s="1" t="s">
        <v>31</v>
      </c>
      <c r="B59" s="10" t="n">
        <f aca="false">(B41/B$16)*B$49</f>
        <v>0.204166666666667</v>
      </c>
      <c r="C59" s="10" t="n">
        <f aca="false">(C41/C$48)*C$49</f>
        <v>0.119148936170213</v>
      </c>
      <c r="D59" s="10" t="n">
        <f aca="false">(D41/D$48)*D$49</f>
        <v>0.12</v>
      </c>
      <c r="E59" s="10" t="n">
        <f aca="false">($E$48/E41)*$E$49</f>
        <v>0.05</v>
      </c>
      <c r="F59" s="10" t="n">
        <f aca="false">(F41/F$16)*F$49</f>
        <v>0.05</v>
      </c>
      <c r="G59" s="11" t="n">
        <f aca="false">SUM(B59:F59)</f>
        <v>0.54331560283688</v>
      </c>
    </row>
    <row r="60" customFormat="false" ht="13.8" hidden="false" customHeight="false" outlineLevel="0" collapsed="false">
      <c r="A60" s="1" t="s">
        <v>33</v>
      </c>
      <c r="B60" s="10" t="n">
        <f aca="false">(B42/B$16)*B$49</f>
        <v>0.330555555555556</v>
      </c>
      <c r="C60" s="10" t="n">
        <f aca="false">(C42/C$48)*C$49</f>
        <v>0.178723404255319</v>
      </c>
      <c r="D60" s="10" t="n">
        <f aca="false">(D42/D$48)*D$49</f>
        <v>0.12</v>
      </c>
      <c r="E60" s="10" t="n">
        <f aca="false">($E$48/E42)*$E$49</f>
        <v>0.0136363636363636</v>
      </c>
      <c r="F60" s="10" t="n">
        <f aca="false">(F42/F$16)*F$49</f>
        <v>0.0576923076923077</v>
      </c>
      <c r="G60" s="11" t="n">
        <f aca="false">SUM(B60:F60)</f>
        <v>0.700607631139546</v>
      </c>
    </row>
    <row r="61" customFormat="false" ht="13.8" hidden="false" customHeight="false" outlineLevel="0" collapsed="false">
      <c r="A61" s="1" t="s">
        <v>34</v>
      </c>
      <c r="B61" s="10" t="n">
        <f aca="false">(B43/B$16)*B$49</f>
        <v>0.240138888888889</v>
      </c>
      <c r="C61" s="10" t="n">
        <f aca="false">(C43/C$48)*C$49</f>
        <v>0.193617021276596</v>
      </c>
      <c r="D61" s="10" t="n">
        <f aca="false">(D43/D$48)*D$49</f>
        <v>0.09</v>
      </c>
      <c r="E61" s="10" t="n">
        <f aca="false">($E$48/E43)*$E$49</f>
        <v>0.0333333333333333</v>
      </c>
      <c r="F61" s="10" t="n">
        <f aca="false">(F43/F$16)*F$49</f>
        <v>0.0653846153846154</v>
      </c>
      <c r="G61" s="11" t="n">
        <f aca="false">SUM(B61:F61)</f>
        <v>0.622473858883434</v>
      </c>
    </row>
    <row r="62" customFormat="false" ht="13.8" hidden="false" customHeight="false" outlineLevel="0" collapsed="false">
      <c r="A62" s="1" t="s">
        <v>35</v>
      </c>
      <c r="B62" s="10" t="n">
        <f aca="false">(B44/B$16)*B$49</f>
        <v>0.290694444444444</v>
      </c>
      <c r="C62" s="10" t="n">
        <f aca="false">(C44/C$48)*C$49</f>
        <v>0.238297872340426</v>
      </c>
      <c r="D62" s="10" t="n">
        <f aca="false">(D44/D$48)*D$49</f>
        <v>0.15</v>
      </c>
      <c r="E62" s="10" t="n">
        <f aca="false">($E$48/E44)*$E$49</f>
        <v>0.0230769230769231</v>
      </c>
      <c r="F62" s="10" t="n">
        <f aca="false">(F44/F$16)*F$49</f>
        <v>0.0961538461538462</v>
      </c>
      <c r="G62" s="11" t="n">
        <f aca="false">SUM(B62:F62)</f>
        <v>0.798223086015639</v>
      </c>
    </row>
    <row r="63" customFormat="false" ht="13.8" hidden="false" customHeight="false" outlineLevel="0" collapsed="false">
      <c r="A63" s="1" t="s">
        <v>38</v>
      </c>
      <c r="B63" s="10" t="n">
        <f aca="false">(B45/B$16)*B$49</f>
        <v>0.320833333333333</v>
      </c>
      <c r="C63" s="10" t="n">
        <f aca="false">(C45/C$48)*C$49</f>
        <v>0.215957446808511</v>
      </c>
      <c r="D63" s="10" t="n">
        <f aca="false">(D45/D$48)*D$49</f>
        <v>0.12</v>
      </c>
      <c r="E63" s="10" t="n">
        <f aca="false">($E$48/E45)*$E$49</f>
        <v>0.0272727272727273</v>
      </c>
      <c r="F63" s="10" t="n">
        <f aca="false">(F45/F$16)*F$49</f>
        <v>0.1</v>
      </c>
      <c r="G63" s="11" t="n">
        <f aca="false">SUM(B63:F63)</f>
        <v>0.784063507414571</v>
      </c>
    </row>
    <row r="64" customFormat="false" ht="13.8" hidden="false" customHeight="false" outlineLevel="0" collapsed="false">
      <c r="A64" s="39" t="s">
        <v>39</v>
      </c>
      <c r="B64" s="40" t="n">
        <f aca="false">(B46/B$16)*B$49</f>
        <v>0.35</v>
      </c>
      <c r="C64" s="40" t="n">
        <f aca="false">(C46/C$48)*C$49</f>
        <v>0.35</v>
      </c>
      <c r="D64" s="40" t="n">
        <f aca="false">(D46/D$48)*D$49</f>
        <v>0.09</v>
      </c>
      <c r="E64" s="40" t="n">
        <f aca="false">($E$48/E46)*$E$49</f>
        <v>0.0333333333333333</v>
      </c>
      <c r="F64" s="40" t="n">
        <f aca="false">(F46/F$16)*F$49</f>
        <v>0.0730769230769231</v>
      </c>
      <c r="G64" s="41" t="n">
        <f aca="false">SUM(B64:F64)</f>
        <v>0.896410256410256</v>
      </c>
    </row>
    <row r="65" customFormat="false" ht="13.8" hidden="false" customHeight="false" outlineLevel="0" collapsed="false"/>
    <row r="66" customFormat="false" ht="13.8" hidden="false" customHeight="false" outlineLevel="0" collapsed="false">
      <c r="A66" s="1" t="s">
        <v>60</v>
      </c>
    </row>
    <row r="67" customFormat="false" ht="13.8" hidden="false" customHeight="false" outlineLevel="0" collapsed="false"/>
    <row r="68" customFormat="false" ht="13.8" hidden="false" customHeight="false" outlineLevel="0" collapsed="false">
      <c r="A68" s="2" t="s">
        <v>0</v>
      </c>
      <c r="B68" s="2" t="s">
        <v>41</v>
      </c>
      <c r="C68" s="2" t="s">
        <v>42</v>
      </c>
      <c r="D68" s="2" t="s">
        <v>43</v>
      </c>
      <c r="E68" s="2" t="s">
        <v>44</v>
      </c>
      <c r="F68" s="2" t="s">
        <v>45</v>
      </c>
      <c r="G68" s="1"/>
    </row>
    <row r="69" customFormat="false" ht="13.8" hidden="false" customHeight="false" outlineLevel="0" collapsed="false">
      <c r="A69" s="1" t="s">
        <v>27</v>
      </c>
      <c r="B69" s="1" t="n">
        <v>340</v>
      </c>
      <c r="C69" s="1" t="n">
        <v>33</v>
      </c>
      <c r="D69" s="1" t="n">
        <f aca="false">IF('Średnie autobusy'!$D$3="",0, LEN('Średnie autobusy'!$D$3) - LEN(SUBSTITUTE('Średnie autobusy'!$D$3,",",""))+1)</f>
        <v>3</v>
      </c>
      <c r="E69" s="1" t="n">
        <v>2.6</v>
      </c>
      <c r="F69" s="6" t="n">
        <f aca="false">AVERAGE(6,4,2)</f>
        <v>4</v>
      </c>
      <c r="G69" s="1"/>
    </row>
    <row r="70" customFormat="false" ht="13.8" hidden="false" customHeight="false" outlineLevel="0" collapsed="false">
      <c r="A70" s="1" t="s">
        <v>28</v>
      </c>
      <c r="B70" s="1" t="n">
        <v>218</v>
      </c>
      <c r="C70" s="1" t="n">
        <v>27</v>
      </c>
      <c r="D70" s="1" t="n">
        <f aca="false">IF('Średnie autobusy'!$D$4="",0, LEN('Średnie autobusy'!$D$4) - LEN(SUBSTITUTE('Średnie autobusy'!$D$4,",",""))+1)</f>
        <v>4</v>
      </c>
      <c r="E70" s="1" t="n">
        <v>2.4</v>
      </c>
      <c r="F70" s="6" t="n">
        <f aca="false">AVERAGE(6,8,10)</f>
        <v>8</v>
      </c>
      <c r="G70" s="1"/>
    </row>
    <row r="71" customFormat="false" ht="13.8" hidden="false" customHeight="false" outlineLevel="0" collapsed="false">
      <c r="A71" s="1" t="s">
        <v>29</v>
      </c>
      <c r="B71" s="1" t="n">
        <v>250</v>
      </c>
      <c r="C71" s="1" t="n">
        <v>33</v>
      </c>
      <c r="D71" s="1" t="n">
        <f aca="false">IF('Średnie autobusy'!$D$5="",0, LEN('Średnie autobusy'!$D$5) - LEN(SUBSTITUTE('Średnie autobusy'!$D$5,",",""))+1)</f>
        <v>4</v>
      </c>
      <c r="E71" s="1" t="n">
        <v>1.1</v>
      </c>
      <c r="F71" s="6" t="n">
        <f aca="false">AVERAGE(10,5,5)</f>
        <v>6.66666666666667</v>
      </c>
      <c r="G71" s="1"/>
    </row>
    <row r="72" customFormat="false" ht="13.8" hidden="false" customHeight="false" outlineLevel="0" collapsed="false">
      <c r="A72" s="1" t="s">
        <v>30</v>
      </c>
      <c r="B72" s="1" t="n">
        <v>326</v>
      </c>
      <c r="C72" s="1" t="n">
        <v>36</v>
      </c>
      <c r="D72" s="1" t="n">
        <f aca="false">IF('Średnie autobusy'!$D$7="",0, LEN('Średnie autobusy'!$D$7) - LEN(SUBSTITUTE('Średnie autobusy'!$D$7,",",""))+1)</f>
        <v>4</v>
      </c>
      <c r="E72" s="1" t="n">
        <v>2.6</v>
      </c>
      <c r="F72" s="6" t="n">
        <f aca="false">AVERAGE(5,5,5)</f>
        <v>5</v>
      </c>
      <c r="G72" s="1"/>
    </row>
    <row r="73" customFormat="false" ht="13.8" hidden="false" customHeight="false" outlineLevel="0" collapsed="false">
      <c r="A73" s="1" t="s">
        <v>31</v>
      </c>
      <c r="B73" s="1" t="n">
        <v>210</v>
      </c>
      <c r="C73" s="1" t="n">
        <v>16</v>
      </c>
      <c r="D73" s="1" t="n">
        <f aca="false">IF('Średnie autobusy'!$D$9="",0, LEN('Średnie autobusy'!$D$9) - LEN(SUBSTITUTE('Średnie autobusy'!$D$9,",",""))+1)</f>
        <v>4</v>
      </c>
      <c r="E73" s="1" t="n">
        <v>0.6</v>
      </c>
      <c r="F73" s="6" t="n">
        <f aca="false">AVERAGE(3,6,4)</f>
        <v>4.33333333333333</v>
      </c>
      <c r="G73" s="1"/>
    </row>
    <row r="74" customFormat="false" ht="13.8" hidden="false" customHeight="false" outlineLevel="0" collapsed="false">
      <c r="A74" s="1" t="s">
        <v>33</v>
      </c>
      <c r="B74" s="1" t="n">
        <v>340</v>
      </c>
      <c r="C74" s="1" t="n">
        <v>24</v>
      </c>
      <c r="D74" s="1" t="n">
        <f aca="false">IF('Średnie autobusy'!$D$10="",0, LEN('Średnie autobusy'!$D$10) - LEN(SUBSTITUTE('Średnie autobusy'!$D$10,",",""))+1)</f>
        <v>4</v>
      </c>
      <c r="E74" s="1" t="n">
        <v>2.2</v>
      </c>
      <c r="F74" s="6" t="n">
        <f aca="false">AVERAGE(5,6,4)</f>
        <v>5</v>
      </c>
      <c r="G74" s="1"/>
    </row>
    <row r="75" customFormat="false" ht="13.8" hidden="false" customHeight="false" outlineLevel="0" collapsed="false">
      <c r="A75" s="1" t="s">
        <v>34</v>
      </c>
      <c r="B75" s="1" t="n">
        <v>247</v>
      </c>
      <c r="C75" s="1" t="n">
        <v>26</v>
      </c>
      <c r="D75" s="1" t="n">
        <f aca="false">IF('Średnie autobusy'!$D$11="",0, LEN('Średnie autobusy'!$D$11) - LEN(SUBSTITUTE('Średnie autobusy'!$D$11,",",""))+1)</f>
        <v>3</v>
      </c>
      <c r="E75" s="1" t="n">
        <v>0.9</v>
      </c>
      <c r="F75" s="6" t="n">
        <f aca="false">AVERAGE(5,7,5)</f>
        <v>5.66666666666667</v>
      </c>
      <c r="G75" s="1"/>
    </row>
    <row r="76" customFormat="false" ht="13.8" hidden="false" customHeight="false" outlineLevel="0" collapsed="false">
      <c r="A76" s="1" t="s">
        <v>35</v>
      </c>
      <c r="B76" s="1" t="n">
        <v>299</v>
      </c>
      <c r="C76" s="1" t="n">
        <v>32</v>
      </c>
      <c r="D76" s="1" t="n">
        <f aca="false">IF('Średnie autobusy'!$D$13="",0, LEN('Średnie autobusy'!$D$13) - LEN(SUBSTITUTE('Średnie autobusy'!$D$13,",",""))+1)</f>
        <v>5</v>
      </c>
      <c r="E76" s="1" t="n">
        <v>1.3</v>
      </c>
      <c r="F76" s="6" t="n">
        <f aca="false">AVERAGE(9,9,7)</f>
        <v>8.33333333333333</v>
      </c>
      <c r="G76" s="1"/>
    </row>
    <row r="77" customFormat="false" ht="13.8" hidden="false" customHeight="false" outlineLevel="0" collapsed="false">
      <c r="A77" s="1" t="s">
        <v>38</v>
      </c>
      <c r="B77" s="1" t="n">
        <v>330</v>
      </c>
      <c r="C77" s="1" t="n">
        <v>29</v>
      </c>
      <c r="D77" s="1" t="n">
        <f aca="false">IF('Średnie autobusy'!$D$15="",0, LEN('Średnie autobusy'!$D$15) - LEN(SUBSTITUTE('Średnie autobusy'!$D$15,",",""))+1)</f>
        <v>4</v>
      </c>
      <c r="E77" s="1" t="n">
        <v>1.1</v>
      </c>
      <c r="F77" s="6" t="n">
        <f aca="false">AVERAGE(9,7,10)</f>
        <v>8.66666666666667</v>
      </c>
      <c r="G77" s="1"/>
    </row>
    <row r="78" customFormat="false" ht="13.8" hidden="false" customHeight="false" outlineLevel="0" collapsed="false">
      <c r="A78" s="1" t="s">
        <v>39</v>
      </c>
      <c r="B78" s="1" t="n">
        <v>360</v>
      </c>
      <c r="C78" s="1" t="n">
        <v>47</v>
      </c>
      <c r="D78" s="1" t="n">
        <f aca="false">IF('Średnie autobusy'!$D$16="",0, LEN('Średnie autobusy'!$D$16) - LEN(SUBSTITUTE('Średnie autobusy'!$D$16,",",""))+1)</f>
        <v>3</v>
      </c>
      <c r="E78" s="1" t="n">
        <v>0.9</v>
      </c>
      <c r="F78" s="6" t="n">
        <f aca="false">AVERAGE(8,3,8)</f>
        <v>6.33333333333333</v>
      </c>
      <c r="G78" s="1"/>
    </row>
    <row r="79" customFormat="false" ht="13.8" hidden="false" customHeight="false" outlineLevel="0" collapsed="false">
      <c r="F79" s="1"/>
      <c r="G79" s="1"/>
    </row>
    <row r="80" customFormat="false" ht="13.8" hidden="false" customHeight="false" outlineLevel="0" collapsed="false">
      <c r="A80" s="1" t="s">
        <v>46</v>
      </c>
      <c r="B80" s="1" t="n">
        <f aca="false">MAX(B69:B78)</f>
        <v>360</v>
      </c>
      <c r="C80" s="1" t="n">
        <f aca="false">MAX(C69:C78)</f>
        <v>47</v>
      </c>
      <c r="D80" s="1" t="n">
        <f aca="false">MAX(D69:D78)</f>
        <v>5</v>
      </c>
      <c r="E80" s="1" t="n">
        <f aca="false">MIN(E69:E78)</f>
        <v>0.6</v>
      </c>
      <c r="F80" s="6" t="n">
        <f aca="false">MAX(F69:F78)</f>
        <v>8.66666666666667</v>
      </c>
      <c r="G80" s="1"/>
    </row>
    <row r="81" customFormat="false" ht="13.8" hidden="false" customHeight="false" outlineLevel="0" collapsed="false">
      <c r="A81" s="1" t="s">
        <v>47</v>
      </c>
      <c r="B81" s="1" t="n">
        <v>0.2</v>
      </c>
      <c r="C81" s="1" t="n">
        <v>0.2</v>
      </c>
      <c r="D81" s="1" t="n">
        <v>0.2</v>
      </c>
      <c r="E81" s="1" t="n">
        <v>0.2</v>
      </c>
      <c r="F81" s="1" t="n">
        <v>0.2</v>
      </c>
      <c r="G81" s="1" t="n">
        <f aca="false">SUM(B81:F81)</f>
        <v>1</v>
      </c>
    </row>
    <row r="82" customFormat="false" ht="13.8" hidden="false" customHeight="false" outlineLevel="0" collapsed="false">
      <c r="F82" s="1"/>
      <c r="G82" s="1"/>
    </row>
    <row r="83" customFormat="false" ht="13.8" hidden="false" customHeight="false" outlineLevel="0" collapsed="false"/>
    <row r="84" customFormat="false" ht="13.8" hidden="false" customHeight="false" outlineLevel="0" collapsed="false"/>
    <row r="85" customFormat="false" ht="13.8" hidden="false" customHeight="false" outlineLevel="0" collapsed="false"/>
    <row r="86" customFormat="false" ht="13.8" hidden="false" customHeight="false" outlineLevel="0" collapsed="false">
      <c r="A86" s="2" t="s">
        <v>0</v>
      </c>
      <c r="B86" s="2" t="s">
        <v>1</v>
      </c>
      <c r="C86" s="2" t="s">
        <v>2</v>
      </c>
      <c r="D86" s="2" t="s">
        <v>3</v>
      </c>
      <c r="E86" s="2" t="s">
        <v>48</v>
      </c>
      <c r="F86" s="2" t="s">
        <v>5</v>
      </c>
      <c r="G86" s="2" t="s">
        <v>49</v>
      </c>
    </row>
    <row r="87" customFormat="false" ht="13.8" hidden="false" customHeight="false" outlineLevel="0" collapsed="false">
      <c r="A87" s="1" t="s">
        <v>27</v>
      </c>
      <c r="B87" s="10" t="n">
        <f aca="false">(B69/B$80)*B$81</f>
        <v>0.188888888888889</v>
      </c>
      <c r="C87" s="10" t="n">
        <f aca="false">(C69/C$80)*C$81</f>
        <v>0.140425531914894</v>
      </c>
      <c r="D87" s="10" t="n">
        <f aca="false">(D69/D$80)*D$81</f>
        <v>0.12</v>
      </c>
      <c r="E87" s="10" t="n">
        <f aca="false">($E$80/E69)*$E$81</f>
        <v>0.0461538461538462</v>
      </c>
      <c r="F87" s="10" t="n">
        <f aca="false">(F69/F$80)*F$81</f>
        <v>0.0923076923076923</v>
      </c>
      <c r="G87" s="11" t="n">
        <f aca="false">SUM(B87:F87)</f>
        <v>0.587775959265321</v>
      </c>
    </row>
    <row r="88" customFormat="false" ht="13.8" hidden="false" customHeight="false" outlineLevel="0" collapsed="false">
      <c r="A88" s="1" t="s">
        <v>28</v>
      </c>
      <c r="B88" s="10" t="n">
        <f aca="false">(B70/B$80)*B$81</f>
        <v>0.121111111111111</v>
      </c>
      <c r="C88" s="10" t="n">
        <f aca="false">(C70/C$80)*C$81</f>
        <v>0.114893617021277</v>
      </c>
      <c r="D88" s="10" t="n">
        <f aca="false">(D70/D$80)*D$81</f>
        <v>0.16</v>
      </c>
      <c r="E88" s="10" t="n">
        <f aca="false">($E$80/E70)*$E$81</f>
        <v>0.05</v>
      </c>
      <c r="F88" s="10" t="n">
        <f aca="false">(F70/F$80)*F$81</f>
        <v>0.184615384615385</v>
      </c>
      <c r="G88" s="11" t="n">
        <f aca="false">SUM(B88:F88)</f>
        <v>0.630620112747772</v>
      </c>
    </row>
    <row r="89" customFormat="false" ht="13.8" hidden="false" customHeight="false" outlineLevel="0" collapsed="false">
      <c r="A89" s="1" t="s">
        <v>29</v>
      </c>
      <c r="B89" s="10" t="n">
        <f aca="false">(B71/B$80)*B$81</f>
        <v>0.138888888888889</v>
      </c>
      <c r="C89" s="10" t="n">
        <f aca="false">(C71/C$80)*C$81</f>
        <v>0.140425531914894</v>
      </c>
      <c r="D89" s="10" t="n">
        <f aca="false">(D71/D$80)*D$81</f>
        <v>0.16</v>
      </c>
      <c r="E89" s="10" t="n">
        <f aca="false">($E$80/E71)*$E$81</f>
        <v>0.109090909090909</v>
      </c>
      <c r="F89" s="10" t="n">
        <f aca="false">(F71/F$80)*F$81</f>
        <v>0.153846153846154</v>
      </c>
      <c r="G89" s="11" t="n">
        <f aca="false">SUM(B89:F89)</f>
        <v>0.702251483740846</v>
      </c>
    </row>
    <row r="90" customFormat="false" ht="13.8" hidden="false" customHeight="false" outlineLevel="0" collapsed="false">
      <c r="A90" s="1" t="s">
        <v>30</v>
      </c>
      <c r="B90" s="10" t="n">
        <f aca="false">(B72/B$80)*B$81</f>
        <v>0.181111111111111</v>
      </c>
      <c r="C90" s="10" t="n">
        <f aca="false">(C72/C$80)*C$81</f>
        <v>0.153191489361702</v>
      </c>
      <c r="D90" s="10" t="n">
        <f aca="false">(D72/D$80)*D$81</f>
        <v>0.16</v>
      </c>
      <c r="E90" s="10" t="n">
        <f aca="false">($E$80/E72)*$E$81</f>
        <v>0.0461538461538462</v>
      </c>
      <c r="F90" s="10" t="n">
        <f aca="false">(F72/F$80)*F$81</f>
        <v>0.115384615384615</v>
      </c>
      <c r="G90" s="11" t="n">
        <f aca="false">SUM(B90:F90)</f>
        <v>0.655841062011275</v>
      </c>
    </row>
    <row r="91" customFormat="false" ht="13.8" hidden="false" customHeight="false" outlineLevel="0" collapsed="false">
      <c r="A91" s="1" t="s">
        <v>31</v>
      </c>
      <c r="B91" s="10" t="n">
        <f aca="false">(B73/B$80)*B$81</f>
        <v>0.116666666666667</v>
      </c>
      <c r="C91" s="10" t="n">
        <f aca="false">(C73/C$80)*C$81</f>
        <v>0.0680851063829787</v>
      </c>
      <c r="D91" s="10" t="n">
        <f aca="false">(D73/D$80)*D$81</f>
        <v>0.16</v>
      </c>
      <c r="E91" s="10" t="n">
        <f aca="false">($E$80/E73)*$E$81</f>
        <v>0.2</v>
      </c>
      <c r="F91" s="10" t="n">
        <f aca="false">(F73/F$80)*F$81</f>
        <v>0.0999999999999999</v>
      </c>
      <c r="G91" s="11" t="n">
        <f aca="false">SUM(B91:F91)</f>
        <v>0.644751773049645</v>
      </c>
    </row>
    <row r="92" customFormat="false" ht="13.8" hidden="false" customHeight="false" outlineLevel="0" collapsed="false">
      <c r="A92" s="1" t="s">
        <v>33</v>
      </c>
      <c r="B92" s="10" t="n">
        <f aca="false">(B74/B$80)*B$81</f>
        <v>0.188888888888889</v>
      </c>
      <c r="C92" s="10" t="n">
        <f aca="false">(C74/C$80)*C$81</f>
        <v>0.102127659574468</v>
      </c>
      <c r="D92" s="10" t="n">
        <f aca="false">(D74/D$80)*D$81</f>
        <v>0.16</v>
      </c>
      <c r="E92" s="10" t="n">
        <f aca="false">($E$80/E74)*$E$81</f>
        <v>0.0545454545454545</v>
      </c>
      <c r="F92" s="10" t="n">
        <f aca="false">(F74/F$80)*F$81</f>
        <v>0.115384615384615</v>
      </c>
      <c r="G92" s="11" t="n">
        <f aca="false">SUM(B92:F92)</f>
        <v>0.620946618393427</v>
      </c>
    </row>
    <row r="93" customFormat="false" ht="13.8" hidden="false" customHeight="false" outlineLevel="0" collapsed="false">
      <c r="A93" s="1" t="s">
        <v>34</v>
      </c>
      <c r="B93" s="10" t="n">
        <f aca="false">(B75/B$80)*B$81</f>
        <v>0.137222222222222</v>
      </c>
      <c r="C93" s="10" t="n">
        <f aca="false">(C75/C$80)*C$81</f>
        <v>0.11063829787234</v>
      </c>
      <c r="D93" s="10" t="n">
        <f aca="false">(D75/D$80)*D$81</f>
        <v>0.12</v>
      </c>
      <c r="E93" s="10" t="n">
        <f aca="false">($E$80/E75)*$E$81</f>
        <v>0.133333333333333</v>
      </c>
      <c r="F93" s="10" t="n">
        <f aca="false">(F75/F$80)*F$81</f>
        <v>0.130769230769231</v>
      </c>
      <c r="G93" s="11" t="n">
        <f aca="false">SUM(B93:F93)</f>
        <v>0.631963084197127</v>
      </c>
    </row>
    <row r="94" customFormat="false" ht="13.8" hidden="false" customHeight="false" outlineLevel="0" collapsed="false">
      <c r="A94" s="1" t="s">
        <v>35</v>
      </c>
      <c r="B94" s="10" t="n">
        <f aca="false">(B76/B$80)*B$81</f>
        <v>0.166111111111111</v>
      </c>
      <c r="C94" s="10" t="n">
        <f aca="false">(C76/C$80)*C$81</f>
        <v>0.136170212765957</v>
      </c>
      <c r="D94" s="10" t="n">
        <f aca="false">(D76/D$80)*D$81</f>
        <v>0.2</v>
      </c>
      <c r="E94" s="10" t="n">
        <f aca="false">($E$80/E76)*$E$81</f>
        <v>0.0923076923076923</v>
      </c>
      <c r="F94" s="10" t="n">
        <f aca="false">(F76/F$80)*F$81</f>
        <v>0.192307692307692</v>
      </c>
      <c r="G94" s="11" t="n">
        <f aca="false">SUM(B94:F94)</f>
        <v>0.786896708492453</v>
      </c>
    </row>
    <row r="95" customFormat="false" ht="13.8" hidden="false" customHeight="false" outlineLevel="0" collapsed="false">
      <c r="A95" s="1" t="s">
        <v>38</v>
      </c>
      <c r="B95" s="10" t="n">
        <f aca="false">(B77/B$80)*B$81</f>
        <v>0.183333333333333</v>
      </c>
      <c r="C95" s="10" t="n">
        <f aca="false">(C77/C$80)*C$81</f>
        <v>0.123404255319149</v>
      </c>
      <c r="D95" s="10" t="n">
        <f aca="false">(D77/D$80)*D$81</f>
        <v>0.16</v>
      </c>
      <c r="E95" s="10" t="n">
        <f aca="false">($E$80/E77)*$E$81</f>
        <v>0.109090909090909</v>
      </c>
      <c r="F95" s="10" t="n">
        <f aca="false">(F77/F$80)*F$81</f>
        <v>0.2</v>
      </c>
      <c r="G95" s="11" t="n">
        <f aca="false">SUM(B95:F95)</f>
        <v>0.775828497743391</v>
      </c>
    </row>
    <row r="96" customFormat="false" ht="13.8" hidden="false" customHeight="false" outlineLevel="0" collapsed="false">
      <c r="A96" s="39" t="s">
        <v>39</v>
      </c>
      <c r="B96" s="40" t="n">
        <f aca="false">(B78/B$80)*B$81</f>
        <v>0.2</v>
      </c>
      <c r="C96" s="40" t="n">
        <f aca="false">(C78/C$80)*C$81</f>
        <v>0.2</v>
      </c>
      <c r="D96" s="40" t="n">
        <f aca="false">(D78/D$80)*D$81</f>
        <v>0.12</v>
      </c>
      <c r="E96" s="40" t="n">
        <f aca="false">($E$80/E78)*$E$81</f>
        <v>0.133333333333333</v>
      </c>
      <c r="F96" s="40" t="n">
        <f aca="false">(F78/F$80)*F$81</f>
        <v>0.146153846153846</v>
      </c>
      <c r="G96" s="41" t="n">
        <f aca="false">SUM(B96:F96)</f>
        <v>0.799487179487179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Roman,Regularna"&amp;12&amp;Kffffff&amp;A</oddHeader>
    <oddFooter>&amp;C&amp;"Times New Roman,Regularna"&amp;12&amp;KffffffStrona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2026-06-04T19:12:40Z</dcterms:created>
  <dc:creator>Patryk Klimek</dc:creator>
  <dc:description/>
  <dc:language>pl-PL</dc:language>
  <cp:lastModifiedBy/>
  <dcterms:modified xsi:type="dcterms:W3CDTF">2026-06-10T19:26:03Z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